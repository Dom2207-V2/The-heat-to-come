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studentiuniparthenope-my.sharepoint.com/personal/domenico_dausilio_phds_uniparthenope_it/Documents/Lavori/Grant/Sea-EU Project/Player Experience/V2/delivery_docs/v2.5.0-g2/workbook/"/>
    </mc:Choice>
  </mc:AlternateContent>
  <xr:revisionPtr revIDLastSave="17" documentId="11_0D9F4CA7A695C5943C0DF6D4E6B136C93B03F781" xr6:coauthVersionLast="47" xr6:coauthVersionMax="47" xr10:uidLastSave="{F77623A1-5871-48CB-8E5D-1C3658C9314A}"/>
  <bookViews>
    <workbookView xWindow="-108" yWindow="-108" windowWidth="23256" windowHeight="13896" xr2:uid="{00000000-000D-0000-FFFF-FFFF00000000}"/>
  </bookViews>
  <sheets>
    <sheet name="Scope" sheetId="1" r:id="rId1"/>
    <sheet name="Budget" sheetId="2" r:id="rId2"/>
    <sheet name="Coordination" sheetId="3" r:id="rId3"/>
    <sheet name="Risk" sheetId="4" r:id="rId4"/>
    <sheet name="Acceptability" sheetId="5" r:id="rId5"/>
    <sheet name="Payoff checks" sheetId="6" r:id="rId6"/>
    <sheet name="Scenarios" sheetId="7" r:id="rId7"/>
    <sheet name="Readiness" sheetId="8" r:id="rId8"/>
    <sheet name="Score weights" sheetId="9" r:id="rId9"/>
    <sheet name="Payoffs" sheetId="10" r:id="rId10"/>
    <sheet name="Lifecycle" sheetId="11" r:id="rId11"/>
    <sheet name="Interactions" sheetId="12" r:id="rId12"/>
    <sheet name="Category mix" sheetId="13" r:id="rId13"/>
    <sheet name="Events" sheetId="14" r:id="rId14"/>
    <sheet name="Parameters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6" l="1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B8" i="5"/>
  <c r="B6" i="5"/>
  <c r="D4" i="5"/>
  <c r="D3" i="5"/>
  <c r="D2" i="5"/>
  <c r="F13" i="4"/>
  <c r="E13" i="4"/>
  <c r="G13" i="4" s="1"/>
  <c r="F12" i="4"/>
  <c r="E12" i="4"/>
  <c r="G12" i="4" s="1"/>
  <c r="F11" i="4"/>
  <c r="E11" i="4"/>
  <c r="F10" i="4"/>
  <c r="E10" i="4"/>
  <c r="G10" i="4" s="1"/>
  <c r="F9" i="4"/>
  <c r="E9" i="4"/>
  <c r="G9" i="4" s="1"/>
  <c r="F8" i="4"/>
  <c r="E8" i="4"/>
  <c r="G8" i="4" s="1"/>
  <c r="F7" i="4"/>
  <c r="E7" i="4"/>
  <c r="G7" i="4" s="1"/>
  <c r="F6" i="4"/>
  <c r="E6" i="4"/>
  <c r="G6" i="4" s="1"/>
  <c r="F5" i="4"/>
  <c r="E5" i="4"/>
  <c r="G5" i="4" s="1"/>
  <c r="F4" i="4"/>
  <c r="E4" i="4"/>
  <c r="G4" i="4" s="1"/>
  <c r="F3" i="4"/>
  <c r="E3" i="4"/>
  <c r="G3" i="4" s="1"/>
  <c r="F2" i="4"/>
  <c r="E2" i="4"/>
  <c r="G2" i="4" s="1"/>
  <c r="L5" i="3"/>
  <c r="I5" i="3"/>
  <c r="J5" i="3" s="1"/>
  <c r="H5" i="3"/>
  <c r="L4" i="3"/>
  <c r="I4" i="3"/>
  <c r="J4" i="3" s="1"/>
  <c r="H4" i="3"/>
  <c r="L3" i="3"/>
  <c r="I3" i="3"/>
  <c r="J3" i="3" s="1"/>
  <c r="H3" i="3"/>
  <c r="L2" i="3"/>
  <c r="I2" i="3"/>
  <c r="J2" i="3" s="1"/>
  <c r="H2" i="3"/>
  <c r="C13" i="2"/>
  <c r="C12" i="2"/>
  <c r="D11" i="2"/>
  <c r="C11" i="2"/>
  <c r="F11" i="2" s="1"/>
  <c r="I11" i="2" s="1"/>
  <c r="D12" i="2" s="1"/>
  <c r="C10" i="2"/>
  <c r="C9" i="2"/>
  <c r="D8" i="2"/>
  <c r="C8" i="2"/>
  <c r="F8" i="2" s="1"/>
  <c r="I8" i="2" s="1"/>
  <c r="D9" i="2" s="1"/>
  <c r="C7" i="2"/>
  <c r="C6" i="2"/>
  <c r="D5" i="2"/>
  <c r="C5" i="2"/>
  <c r="F5" i="2" s="1"/>
  <c r="I5" i="2" s="1"/>
  <c r="D6" i="2" s="1"/>
  <c r="C4" i="2"/>
  <c r="C3" i="2"/>
  <c r="D2" i="2"/>
  <c r="C2" i="2"/>
  <c r="F2" i="2" s="1"/>
  <c r="I2" i="2" s="1"/>
  <c r="D3" i="2" s="1"/>
  <c r="B7" i="5" l="1"/>
  <c r="B9" i="5" s="1"/>
  <c r="K2" i="3"/>
  <c r="M2" i="3" s="1"/>
  <c r="N2" i="3" s="1"/>
  <c r="K4" i="3"/>
  <c r="M4" i="3" s="1"/>
  <c r="N4" i="3" s="1"/>
  <c r="K3" i="3"/>
  <c r="M3" i="3" s="1"/>
  <c r="N3" i="3" s="1"/>
  <c r="G11" i="4"/>
  <c r="F12" i="2"/>
  <c r="I12" i="2" s="1"/>
  <c r="D13" i="2" s="1"/>
  <c r="F13" i="2" s="1"/>
  <c r="I13" i="2" s="1"/>
  <c r="K5" i="3"/>
  <c r="M5" i="3" s="1"/>
  <c r="N5" i="3" s="1"/>
  <c r="F9" i="2"/>
  <c r="I9" i="2" s="1"/>
  <c r="D10" i="2" s="1"/>
  <c r="F10" i="2" s="1"/>
  <c r="I10" i="2" s="1"/>
  <c r="F3" i="2"/>
  <c r="I3" i="2" s="1"/>
  <c r="D4" i="2" s="1"/>
  <c r="F4" i="2" s="1"/>
  <c r="I4" i="2" s="1"/>
  <c r="F6" i="2"/>
  <c r="I6" i="2" s="1"/>
  <c r="D7" i="2" s="1"/>
  <c r="F7" i="2" s="1"/>
  <c r="I7" i="2" s="1"/>
</calcChain>
</file>

<file path=xl/sharedStrings.xml><?xml version="1.0" encoding="utf-8"?>
<sst xmlns="http://schemas.openxmlformats.org/spreadsheetml/2006/main" count="1960" uniqueCount="739">
  <si>
    <t>The Heat to Come</t>
  </si>
  <si>
    <t>Payoff reference and selected checks</t>
  </si>
  <si>
    <t>Release</t>
  </si>
  <si>
    <t>Application 2.5.0 / model V2-2.3.0 / dossier 2026-09-26</t>
  </si>
  <si>
    <t>Purpose</t>
  </si>
  <si>
    <t>Technical teaching reference. Synthetic educational values, not real-world forecasts.</t>
  </si>
  <si>
    <t>Scope</t>
  </si>
  <si>
    <t>Parameters plus selected budget, coordination, risk, acceptability and payoff calculations.</t>
  </si>
  <si>
    <t>No full engine parity</t>
  </si>
  <si>
    <t>No complete turn simulation, random draw, lifecycle replay, damage or final-score replication.</t>
  </si>
  <si>
    <t>Coordination boundary</t>
  </si>
  <si>
    <t>Spanning-link counts are engine-derived fixture inputs. This workbook does not solve the graph.</t>
  </si>
  <si>
    <t>Input meaning</t>
  </si>
  <si>
    <t>Amber cells in Budget, Coordination and Risk are editable teaching inputs.</t>
  </si>
  <si>
    <t>Frozen source values</t>
  </si>
  <si>
    <t>Source tables reproduce the qualified model. Editing them makes a local experiment.</t>
  </si>
  <si>
    <t>Versions</t>
  </si>
  <si>
    <t>Application 2.5.0 is not model 2.5.0. Historical V1 budgets/rules are not current.</t>
  </si>
  <si>
    <t>Language</t>
  </si>
  <si>
    <t>English guide and headings. Original internal Italian pair/mix notes are excluded from this public extract.</t>
  </si>
  <si>
    <t>Data companion</t>
  </si>
  <si>
    <t>../technical/technical-data-extract.json contains full event branches, lifecycle metadata and model parameters.</t>
  </si>
  <si>
    <t>Interpretation</t>
  </si>
  <si>
    <t>Risk, resilience and acceptability are synthetic points; budget is resource units, not currency.</t>
  </si>
  <si>
    <t>Rounding</t>
  </si>
  <si>
    <t>Engine metrics use 3 decimals; coordination uses 6. This lab applies matching local precision.</t>
  </si>
  <si>
    <t>Availability</t>
  </si>
  <si>
    <t>A negative carryout is possible after an event. Opening available includes pending effects.</t>
  </si>
  <si>
    <t>Do not import as results</t>
  </si>
  <si>
    <t>This is not the app result-exchange workbook and cannot restore or configure a game.</t>
  </si>
  <si>
    <t>Review boundaries</t>
  </si>
  <si>
    <t>Native Excel recalculation and perturbation results are recorded in the private evidence index.</t>
  </si>
  <si>
    <t>Source IDs</t>
  </si>
  <si>
    <t>M = canonical model; E = event data; D = engine-v2-3.mjs; C = coordination-load.mjs.</t>
  </si>
  <si>
    <t>Complete source map</t>
  </si>
  <si>
    <t>See 07_workbook_guide.md for ranges, functions and exclusions.</t>
  </si>
  <si>
    <t>Originals</t>
  </si>
  <si>
    <t>Approved historical source workbooks and releases remain unchanged.</t>
  </si>
  <si>
    <t>Rules version</t>
  </si>
  <si>
    <t>engine-v2.3.0-active-score-rebalance-coordination-v2</t>
  </si>
  <si>
    <t>Rules fingerprint</t>
  </si>
  <si>
    <t>rules-v2.3.0-coordination-pair-normalisation-2026-09-26.1</t>
  </si>
  <si>
    <t>Scenario</t>
  </si>
  <si>
    <t>Turn</t>
  </si>
  <si>
    <t>Carry in</t>
  </si>
  <si>
    <t>Pending delta</t>
  </si>
  <si>
    <t>Available</t>
  </si>
  <si>
    <t>Spending</t>
  </si>
  <si>
    <t>Event delta</t>
  </si>
  <si>
    <t>Carry out</t>
  </si>
  <si>
    <t>PC</t>
  </si>
  <si>
    <t>FF</t>
  </si>
  <si>
    <t>CZ</t>
  </si>
  <si>
    <t>SR</t>
  </si>
  <si>
    <t>Fixture</t>
  </si>
  <si>
    <t>Starts</t>
  </si>
  <si>
    <t>Upgrades</t>
  </si>
  <si>
    <t>Repairs</t>
  </si>
  <si>
    <t>Categories</t>
  </si>
  <si>
    <t>Forest links</t>
  </si>
  <si>
    <t>Built bonus</t>
  </si>
  <si>
    <t>Action load</t>
  </si>
  <si>
    <t>H load</t>
  </si>
  <si>
    <t>Credit</t>
  </si>
  <si>
    <t>Net load</t>
  </si>
  <si>
    <t>Capacity</t>
  </si>
  <si>
    <t>Excess</t>
  </si>
  <si>
    <t>Eta</t>
  </si>
  <si>
    <t>CO-1</t>
  </si>
  <si>
    <t>CO-2</t>
  </si>
  <si>
    <t>CO-3</t>
  </si>
  <si>
    <t>CO-4</t>
  </si>
  <si>
    <t>Case</t>
  </si>
  <si>
    <t>Current risk</t>
  </si>
  <si>
    <t>Penalty</t>
  </si>
  <si>
    <t>Reduction</t>
  </si>
  <si>
    <t>Floor</t>
  </si>
  <si>
    <t>k</t>
  </si>
  <si>
    <t>New risk</t>
  </si>
  <si>
    <t>PC:0</t>
  </si>
  <si>
    <t>PC:10</t>
  </si>
  <si>
    <t>PC:10000</t>
  </si>
  <si>
    <t>FF:0</t>
  </si>
  <si>
    <t>FF:10</t>
  </si>
  <si>
    <t>FF:10000</t>
  </si>
  <si>
    <t>CZ:0</t>
  </si>
  <si>
    <t>CZ:10</t>
  </si>
  <si>
    <t>CZ:10000</t>
  </si>
  <si>
    <t>SR:0</t>
  </si>
  <si>
    <t>SR:10</t>
  </si>
  <si>
    <t>SR:10000</t>
  </si>
  <si>
    <t>Effective-level input</t>
  </si>
  <si>
    <t>Cost units</t>
  </si>
  <si>
    <t>Acceptability</t>
  </si>
  <si>
    <t>Weighted contribution</t>
  </si>
  <si>
    <t>INF01</t>
  </si>
  <si>
    <t>INF02</t>
  </si>
  <si>
    <t>INF03</t>
  </si>
  <si>
    <t>Total cost</t>
  </si>
  <si>
    <t>Weighted mean</t>
  </si>
  <si>
    <t>Package minimum</t>
  </si>
  <si>
    <t>Package acceptability</t>
  </si>
  <si>
    <t>Example</t>
  </si>
  <si>
    <t>Input 1</t>
  </si>
  <si>
    <t>Input 2</t>
  </si>
  <si>
    <t>Input 3</t>
  </si>
  <si>
    <t>Result</t>
  </si>
  <si>
    <t>Meaning</t>
  </si>
  <si>
    <t>Pair L1/L1</t>
  </si>
  <si>
    <t>Positive pair intensity</t>
  </si>
  <si>
    <t>Pair L1/L2</t>
  </si>
  <si>
    <t>Pair L2/L2</t>
  </si>
  <si>
    <t>Negative L1/L1</t>
  </si>
  <si>
    <t>Negative pair minimum intensity</t>
  </si>
  <si>
    <t>Risk cap zero</t>
  </si>
  <si>
    <t>Cap on positive risk sum</t>
  </si>
  <si>
    <t>Risk cap 100</t>
  </si>
  <si>
    <t>Resilience cap 100</t>
  </si>
  <si>
    <t>Cap on positive resilience sum</t>
  </si>
  <si>
    <t>Saturation rank 1</t>
  </si>
  <si>
    <t>Applied after metric-specific ranking</t>
  </si>
  <si>
    <t>Saturation rank 2</t>
  </si>
  <si>
    <t>Saturation rank 3</t>
  </si>
  <si>
    <t>Saturation rank 4</t>
  </si>
  <si>
    <t>Saturation rank 5</t>
  </si>
  <si>
    <t>Saturation rank 6</t>
  </si>
  <si>
    <t>Mix boundary</t>
  </si>
  <si>
    <t>INF: strictly above 0.35 and below 0.30</t>
  </si>
  <si>
    <t>Mix above</t>
  </si>
  <si>
    <t>INF: both strict conditions true</t>
  </si>
  <si>
    <t>Mix complement boundary</t>
  </si>
  <si>
    <t>INF: complement boundary does not trigger</t>
  </si>
  <si>
    <t>ID</t>
  </si>
  <si>
    <t>Risk base</t>
  </si>
  <si>
    <t>Resilience base</t>
  </si>
  <si>
    <t>Budget units</t>
  </si>
  <si>
    <t>T1 release</t>
  </si>
  <si>
    <t>T2 release</t>
  </si>
  <si>
    <t>T3 release</t>
  </si>
  <si>
    <t>Risk floor</t>
  </si>
  <si>
    <t>Risk k</t>
  </si>
  <si>
    <t>The Pressure Cooker</t>
  </si>
  <si>
    <t>The Fragile Frontline</t>
  </si>
  <si>
    <t>The Comfort Zone</t>
  </si>
  <si>
    <t>The Silent Risk</t>
  </si>
  <si>
    <t>Category</t>
  </si>
  <si>
    <t>Readiness factor</t>
  </si>
  <si>
    <t>Infrastructure</t>
  </si>
  <si>
    <t>Operations</t>
  </si>
  <si>
    <t>Preparedness</t>
  </si>
  <si>
    <t>Governance</t>
  </si>
  <si>
    <t>Behavioural</t>
  </si>
  <si>
    <t>Restrictive</t>
  </si>
  <si>
    <t>Risk</t>
  </si>
  <si>
    <t>Resilience</t>
  </si>
  <si>
    <t>Coherence + continuity</t>
  </si>
  <si>
    <t>Efficiency</t>
  </si>
  <si>
    <t>Runtime ID</t>
  </si>
  <si>
    <t>Intervention</t>
  </si>
  <si>
    <t>Level</t>
  </si>
  <si>
    <t>Risk reduction</t>
  </si>
  <si>
    <t>Resilience gain</t>
  </si>
  <si>
    <t>Urban greening and vegetation-based cooling</t>
  </si>
  <si>
    <t>Cool surfaces and passive cooling materials</t>
  </si>
  <si>
    <t>Shaded areas and cooling shelters</t>
  </si>
  <si>
    <t>INF04</t>
  </si>
  <si>
    <t>Thermal retrofit of critical campus buildings</t>
  </si>
  <si>
    <t>INF05</t>
  </si>
  <si>
    <t>Water access and micro-cooling infrastructure</t>
  </si>
  <si>
    <t>INF06</t>
  </si>
  <si>
    <t>Replacement with new high-efficiency buildings</t>
  </si>
  <si>
    <t>OPS01</t>
  </si>
  <si>
    <t>Cooling and ventilation management</t>
  </si>
  <si>
    <t>OPS02</t>
  </si>
  <si>
    <t>Flexible use of spaces and scheduling adjustments</t>
  </si>
  <si>
    <t>OPS03</t>
  </si>
  <si>
    <t>Remote access and hybrid service delivery</t>
  </si>
  <si>
    <t>OPS04</t>
  </si>
  <si>
    <t>Indoor monitoring and adaptive building controls</t>
  </si>
  <si>
    <t>OPS05</t>
  </si>
  <si>
    <t>Operating hours and building-use optimisation</t>
  </si>
  <si>
    <t>OPS06</t>
  </si>
  <si>
    <t>Extended opening of air-conditioned buildings without energy management and targeting</t>
  </si>
  <si>
    <t>PRE01</t>
  </si>
  <si>
    <t>Early warning systems and risk communication</t>
  </si>
  <si>
    <t>PRE02</t>
  </si>
  <si>
    <t>Heat action planning and emergency coordination</t>
  </si>
  <si>
    <t>PRE03</t>
  </si>
  <si>
    <t>Health response capacity and heat-illness training</t>
  </si>
  <si>
    <t>PRE04</t>
  </si>
  <si>
    <t>Heat hotspot and vulnerability mapping</t>
  </si>
  <si>
    <t>PRE05</t>
  </si>
  <si>
    <t>Heatwave drills and preparedness exercises</t>
  </si>
  <si>
    <t>PRE06</t>
  </si>
  <si>
    <t>Standardised institutional emergency plan</t>
  </si>
  <si>
    <t>GOV01</t>
  </si>
  <si>
    <t>Climate adaptation strategy</t>
  </si>
  <si>
    <t>GOV02</t>
  </si>
  <si>
    <t>Monitoring, evaluation and learning systems</t>
  </si>
  <si>
    <t>GOV03</t>
  </si>
  <si>
    <t>Climate-risk screening in campus investments</t>
  </si>
  <si>
    <t>GOV04</t>
  </si>
  <si>
    <t>Climate-resilient procurement and tender criteria</t>
  </si>
  <si>
    <t>GOV05</t>
  </si>
  <si>
    <t>Cross-departmental coordination and operational accountability</t>
  </si>
  <si>
    <t>GOV06</t>
  </si>
  <si>
    <t>Climate compensation as the main response</t>
  </si>
  <si>
    <t>BEH01</t>
  </si>
  <si>
    <t>Awareness campaigns, behavioural guidance and nudges</t>
  </si>
  <si>
    <t>BEH02</t>
  </si>
  <si>
    <t>Targeted support for vulnerable groups</t>
  </si>
  <si>
    <t>BEH03</t>
  </si>
  <si>
    <t>Hydration, rest breaks and cooling-space use campaigns</t>
  </si>
  <si>
    <t>BEH04</t>
  </si>
  <si>
    <t>Student and staff climate stewards</t>
  </si>
  <si>
    <t>BEH05</t>
  </si>
  <si>
    <t>Living labs and participatory campus adaptation</t>
  </si>
  <si>
    <t>BEH06</t>
  </si>
  <si>
    <t>Individual responsibility without structural support</t>
  </si>
  <si>
    <t>RES01</t>
  </si>
  <si>
    <t>Mandatory restrictions on in-person activities</t>
  </si>
  <si>
    <t>RES02</t>
  </si>
  <si>
    <t>Mandatory alternative operations without adequate infrastructure support</t>
  </si>
  <si>
    <t>RES03</t>
  </si>
  <si>
    <t>Selective suspension of outdoor events and activities</t>
  </si>
  <si>
    <t>RES04</t>
  </si>
  <si>
    <t>Controlled access to high-heat-risk spaces</t>
  </si>
  <si>
    <t>RES05</t>
  </si>
  <si>
    <t>Mandatory reduction of hours or occupancy during heat peaks</t>
  </si>
  <si>
    <t>RES06</t>
  </si>
  <si>
    <t>Recurrent general closures as an ordinary strategy</t>
  </si>
  <si>
    <t>Class (legacy)</t>
  </si>
  <si>
    <t>Delivery class</t>
  </si>
  <si>
    <t>L1 delay</t>
  </si>
  <si>
    <t>L2 delay</t>
  </si>
  <si>
    <t>Repair cost</t>
  </si>
  <si>
    <t>L1 maturity</t>
  </si>
  <si>
    <t>Direct L2 maturity</t>
  </si>
  <si>
    <t>Upgrade maturity</t>
  </si>
  <si>
    <t>Capability tags</t>
  </si>
  <si>
    <t>permanent</t>
  </si>
  <si>
    <t>infrastructure</t>
  </si>
  <si>
    <t>0, 1, 1</t>
  </si>
  <si>
    <t>0, 0.5, 1</t>
  </si>
  <si>
    <t>cooling, shelter</t>
  </si>
  <si>
    <t>persistent</t>
  </si>
  <si>
    <t>programme</t>
  </si>
  <si>
    <t>1, 1, 1</t>
  </si>
  <si>
    <t>0.5, 1, 1</t>
  </si>
  <si>
    <t>continuity, monitoring</t>
  </si>
  <si>
    <t>warning, planning, vulnerable-support</t>
  </si>
  <si>
    <t>planning, coordination, monitoring</t>
  </si>
  <si>
    <t>temporary</t>
  </si>
  <si>
    <t>immediate</t>
  </si>
  <si>
    <t>awareness, vulnerable-support</t>
  </si>
  <si>
    <t>restriction, continuity</t>
  </si>
  <si>
    <t>Pair key</t>
  </si>
  <si>
    <t>ID 1</t>
  </si>
  <si>
    <t>ID 2</t>
  </si>
  <si>
    <t>Risk payoff</t>
  </si>
  <si>
    <t>Resilience payoff</t>
  </si>
  <si>
    <t>INF01|INF02</t>
  </si>
  <si>
    <t>INF01|INF03</t>
  </si>
  <si>
    <t>INF01|INF05</t>
  </si>
  <si>
    <t>INF01|OPS02</t>
  </si>
  <si>
    <t>INF01|OPS05</t>
  </si>
  <si>
    <t>INF01|OPS06</t>
  </si>
  <si>
    <t>INF01|PRE04</t>
  </si>
  <si>
    <t>INF01|GOV01</t>
  </si>
  <si>
    <t>INF01|GOV02</t>
  </si>
  <si>
    <t>INF01|GOV03</t>
  </si>
  <si>
    <t>INF01|GOV04</t>
  </si>
  <si>
    <t>INF01|GOV05</t>
  </si>
  <si>
    <t>INF01|GOV06</t>
  </si>
  <si>
    <t>INF01|BEH01</t>
  </si>
  <si>
    <t>INF01|RES03</t>
  </si>
  <si>
    <t>INF02|INF04</t>
  </si>
  <si>
    <t>INF02|INF06</t>
  </si>
  <si>
    <t>INF02|OPS01</t>
  </si>
  <si>
    <t>INF02|OPS04</t>
  </si>
  <si>
    <t>INF02|OPS06</t>
  </si>
  <si>
    <t>INF02|GOV01</t>
  </si>
  <si>
    <t>INF02|GOV02</t>
  </si>
  <si>
    <t>INF02|GOV03</t>
  </si>
  <si>
    <t>INF02|GOV04</t>
  </si>
  <si>
    <t>INF02|GOV05</t>
  </si>
  <si>
    <t>INF02|GOV06</t>
  </si>
  <si>
    <t>INF03|INF05</t>
  </si>
  <si>
    <t>INF03|OPS02</t>
  </si>
  <si>
    <t>INF03|OPS05</t>
  </si>
  <si>
    <t>INF03|OPS06</t>
  </si>
  <si>
    <t>INF03|PRE01</t>
  </si>
  <si>
    <t>INF03|PRE02</t>
  </si>
  <si>
    <t>INF03|PRE04</t>
  </si>
  <si>
    <t>INF03|GOV01</t>
  </si>
  <si>
    <t>INF03|GOV02</t>
  </si>
  <si>
    <t>INF03|GOV03</t>
  </si>
  <si>
    <t>INF03|GOV04</t>
  </si>
  <si>
    <t>INF03|GOV05</t>
  </si>
  <si>
    <t>INF03|GOV06</t>
  </si>
  <si>
    <t>INF03|BEH01</t>
  </si>
  <si>
    <t>INF03|BEH03</t>
  </si>
  <si>
    <t>INF03|RES03</t>
  </si>
  <si>
    <t>INF03|RES04</t>
  </si>
  <si>
    <t>INF04|INF06</t>
  </si>
  <si>
    <t>INF04|OPS01</t>
  </si>
  <si>
    <t>INF04|OPS04</t>
  </si>
  <si>
    <t>INF04|OPS06</t>
  </si>
  <si>
    <t>INF04|GOV01</t>
  </si>
  <si>
    <t>INF04|GOV02</t>
  </si>
  <si>
    <t>INF04|GOV03</t>
  </si>
  <si>
    <t>INF04|GOV04</t>
  </si>
  <si>
    <t>INF04|GOV05</t>
  </si>
  <si>
    <t>INF04|GOV06</t>
  </si>
  <si>
    <t>INF05|OPS06</t>
  </si>
  <si>
    <t>INF05|PRE01</t>
  </si>
  <si>
    <t>INF05|PRE02</t>
  </si>
  <si>
    <t>INF05|PRE04</t>
  </si>
  <si>
    <t>INF05|GOV01</t>
  </si>
  <si>
    <t>INF05|GOV02</t>
  </si>
  <si>
    <t>INF05|GOV03</t>
  </si>
  <si>
    <t>INF05|GOV04</t>
  </si>
  <si>
    <t>INF05|GOV05</t>
  </si>
  <si>
    <t>INF05|GOV06</t>
  </si>
  <si>
    <t>INF05|BEH01</t>
  </si>
  <si>
    <t>INF05|BEH03</t>
  </si>
  <si>
    <t>INF05|RES04</t>
  </si>
  <si>
    <t>INF06|OPS06</t>
  </si>
  <si>
    <t>INF06|GOV01</t>
  </si>
  <si>
    <t>INF06|GOV02</t>
  </si>
  <si>
    <t>INF06|GOV03</t>
  </si>
  <si>
    <t>INF06|GOV04</t>
  </si>
  <si>
    <t>INF06|GOV05</t>
  </si>
  <si>
    <t>INF06|GOV06</t>
  </si>
  <si>
    <t>OPS01|OPS02</t>
  </si>
  <si>
    <t>OPS01|OPS04</t>
  </si>
  <si>
    <t>OPS01|OPS05</t>
  </si>
  <si>
    <t>OPS01|OPS06</t>
  </si>
  <si>
    <t>OPS01|PRE01</t>
  </si>
  <si>
    <t>OPS01|GOV01</t>
  </si>
  <si>
    <t>OPS01|GOV05</t>
  </si>
  <si>
    <t>OPS01|GOV06</t>
  </si>
  <si>
    <t>OPS01|BEH03</t>
  </si>
  <si>
    <t>OPS01|RES01</t>
  </si>
  <si>
    <t>OPS01|RES02</t>
  </si>
  <si>
    <t>OPS01|RES06</t>
  </si>
  <si>
    <t>OPS02|OPS03</t>
  </si>
  <si>
    <t>OPS02|OPS05</t>
  </si>
  <si>
    <t>OPS02|OPS06</t>
  </si>
  <si>
    <t>OPS02|PRE01</t>
  </si>
  <si>
    <t>OPS02|GOV01</t>
  </si>
  <si>
    <t>OPS02|GOV05</t>
  </si>
  <si>
    <t>OPS02|GOV06</t>
  </si>
  <si>
    <t>OPS02|BEH03</t>
  </si>
  <si>
    <t>OPS02|RES01</t>
  </si>
  <si>
    <t>OPS02|RES02</t>
  </si>
  <si>
    <t>OPS02|RES05</t>
  </si>
  <si>
    <t>OPS02|RES06</t>
  </si>
  <si>
    <t>OPS03|OPS05</t>
  </si>
  <si>
    <t>OPS03|OPS06</t>
  </si>
  <si>
    <t>OPS03|GOV06</t>
  </si>
  <si>
    <t>OPS03|RES01</t>
  </si>
  <si>
    <t>OPS03|RES02</t>
  </si>
  <si>
    <t>OPS03|RES05</t>
  </si>
  <si>
    <t>OPS03|RES06</t>
  </si>
  <si>
    <t>OPS04|OPS05</t>
  </si>
  <si>
    <t>OPS04|OPS06</t>
  </si>
  <si>
    <t>OPS04|PRE01</t>
  </si>
  <si>
    <t>OPS04|PRE04</t>
  </si>
  <si>
    <t>OPS04|PRE06</t>
  </si>
  <si>
    <t>OPS04|GOV01</t>
  </si>
  <si>
    <t>OPS04|GOV02</t>
  </si>
  <si>
    <t>OPS04|GOV05</t>
  </si>
  <si>
    <t>OPS04|GOV06</t>
  </si>
  <si>
    <t>OPS05|OPS06</t>
  </si>
  <si>
    <t>OPS05|PRE01</t>
  </si>
  <si>
    <t>OPS05|GOV01</t>
  </si>
  <si>
    <t>OPS05|GOV05</t>
  </si>
  <si>
    <t>OPS05|GOV06</t>
  </si>
  <si>
    <t>OPS05|BEH03</t>
  </si>
  <si>
    <t>OPS05|RES01</t>
  </si>
  <si>
    <t>OPS05|RES02</t>
  </si>
  <si>
    <t>OPS05|RES05</t>
  </si>
  <si>
    <t>OPS05|RES06</t>
  </si>
  <si>
    <t>OPS06|PRE04</t>
  </si>
  <si>
    <t>OPS06|GOV01</t>
  </si>
  <si>
    <t>OPS06|GOV02</t>
  </si>
  <si>
    <t>OPS06|GOV03</t>
  </si>
  <si>
    <t>OPS06|GOV04</t>
  </si>
  <si>
    <t>OPS06|GOV05</t>
  </si>
  <si>
    <t>OPS06|BEH02</t>
  </si>
  <si>
    <t>PRE01|PRE02</t>
  </si>
  <si>
    <t>PRE01|PRE03</t>
  </si>
  <si>
    <t>PRE01|PRE04</t>
  </si>
  <si>
    <t>PRE01|PRE05</t>
  </si>
  <si>
    <t>PRE01|PRE06</t>
  </si>
  <si>
    <t>PRE01|GOV05</t>
  </si>
  <si>
    <t>PRE01|GOV06</t>
  </si>
  <si>
    <t>PRE01|BEH01</t>
  </si>
  <si>
    <t>PRE01|BEH03</t>
  </si>
  <si>
    <t>PRE01|BEH04</t>
  </si>
  <si>
    <t>PRE01|BEH05</t>
  </si>
  <si>
    <t>PRE01|BEH06</t>
  </si>
  <si>
    <t>PRE01|RES01</t>
  </si>
  <si>
    <t>PRE01|RES02</t>
  </si>
  <si>
    <t>PRE01|RES03</t>
  </si>
  <si>
    <t>PRE01|RES04</t>
  </si>
  <si>
    <t>PRE01|RES05</t>
  </si>
  <si>
    <t>PRE01|RES06</t>
  </si>
  <si>
    <t>PRE02|PRE03</t>
  </si>
  <si>
    <t>PRE02|PRE04</t>
  </si>
  <si>
    <t>PRE02|PRE05</t>
  </si>
  <si>
    <t>PRE02|PRE06</t>
  </si>
  <si>
    <t>PRE02|GOV05</t>
  </si>
  <si>
    <t>PRE02|GOV06</t>
  </si>
  <si>
    <t>PRE02|BEH04</t>
  </si>
  <si>
    <t>PRE02|BEH05</t>
  </si>
  <si>
    <t>PRE02|BEH06</t>
  </si>
  <si>
    <t>PRE02|RES01</t>
  </si>
  <si>
    <t>PRE02|RES02</t>
  </si>
  <si>
    <t>PRE02|RES03</t>
  </si>
  <si>
    <t>PRE02|RES04</t>
  </si>
  <si>
    <t>PRE02|RES05</t>
  </si>
  <si>
    <t>PRE02|RES06</t>
  </si>
  <si>
    <t>PRE03|PRE04</t>
  </si>
  <si>
    <t>PRE03|PRE05</t>
  </si>
  <si>
    <t>PRE03|PRE06</t>
  </si>
  <si>
    <t>PRE03|GOV06</t>
  </si>
  <si>
    <t>PRE03|BEH02</t>
  </si>
  <si>
    <t>PRE03|BEH03</t>
  </si>
  <si>
    <t>PRE03|BEH06</t>
  </si>
  <si>
    <t>PRE03|RES01</t>
  </si>
  <si>
    <t>PRE03|RES02</t>
  </si>
  <si>
    <t>PRE03|RES05</t>
  </si>
  <si>
    <t>PRE04|PRE05</t>
  </si>
  <si>
    <t>PRE04|PRE06</t>
  </si>
  <si>
    <t>PRE04|GOV02</t>
  </si>
  <si>
    <t>PRE04|GOV06</t>
  </si>
  <si>
    <t>PRE04|BEH02</t>
  </si>
  <si>
    <t>PRE04|BEH04</t>
  </si>
  <si>
    <t>PRE04|BEH05</t>
  </si>
  <si>
    <t>PRE04|BEH06</t>
  </si>
  <si>
    <t>PRE04|RES02</t>
  </si>
  <si>
    <t>PRE04|RES04</t>
  </si>
  <si>
    <t>PRE05|PRE06</t>
  </si>
  <si>
    <t>PRE05|GOV06</t>
  </si>
  <si>
    <t>PRE05|RES01</t>
  </si>
  <si>
    <t>PRE05|RES03</t>
  </si>
  <si>
    <t>PRE05|RES05</t>
  </si>
  <si>
    <t>PRE06|GOV02</t>
  </si>
  <si>
    <t>PRE06|GOV05</t>
  </si>
  <si>
    <t>PRE06|BEH02</t>
  </si>
  <si>
    <t>PRE06|BEH05</t>
  </si>
  <si>
    <t>GOV01|GOV02</t>
  </si>
  <si>
    <t>GOV01|GOV03</t>
  </si>
  <si>
    <t>GOV01|GOV04</t>
  </si>
  <si>
    <t>GOV01|GOV05</t>
  </si>
  <si>
    <t>GOV01|GOV06</t>
  </si>
  <si>
    <t>GOV01|BEH01</t>
  </si>
  <si>
    <t>GOV01|BEH04</t>
  </si>
  <si>
    <t>GOV01|BEH05</t>
  </si>
  <si>
    <t>GOV01|BEH06</t>
  </si>
  <si>
    <t>GOV02|GOV03</t>
  </si>
  <si>
    <t>GOV02|GOV04</t>
  </si>
  <si>
    <t>GOV02|GOV05</t>
  </si>
  <si>
    <t>GOV02|GOV06</t>
  </si>
  <si>
    <t>GOV02|BEH01</t>
  </si>
  <si>
    <t>GOV02|BEH04</t>
  </si>
  <si>
    <t>GOV02|BEH05</t>
  </si>
  <si>
    <t>GOV02|BEH06</t>
  </si>
  <si>
    <t>GOV03|GOV04</t>
  </si>
  <si>
    <t>GOV03|GOV05</t>
  </si>
  <si>
    <t>GOV03|GOV06</t>
  </si>
  <si>
    <t>GOV04|GOV05</t>
  </si>
  <si>
    <t>GOV04|GOV06</t>
  </si>
  <si>
    <t>GOV05|GOV06</t>
  </si>
  <si>
    <t>GOV05|BEH04</t>
  </si>
  <si>
    <t>GOV05|BEH05</t>
  </si>
  <si>
    <t>GOV05|BEH06</t>
  </si>
  <si>
    <t>GOV05|RES01</t>
  </si>
  <si>
    <t>GOV05|RES02</t>
  </si>
  <si>
    <t>GOV05|RES05</t>
  </si>
  <si>
    <t>GOV05|RES06</t>
  </si>
  <si>
    <t>GOV06|BEH01</t>
  </si>
  <si>
    <t>GOV06|BEH02</t>
  </si>
  <si>
    <t>GOV06|BEH03</t>
  </si>
  <si>
    <t>GOV06|BEH04</t>
  </si>
  <si>
    <t>GOV06|BEH05</t>
  </si>
  <si>
    <t>GOV06|RES01</t>
  </si>
  <si>
    <t>GOV06|RES03</t>
  </si>
  <si>
    <t>GOV06|RES04</t>
  </si>
  <si>
    <t>GOV06|RES05</t>
  </si>
  <si>
    <t>BEH01|BEH02</t>
  </si>
  <si>
    <t>BEH01|BEH03</t>
  </si>
  <si>
    <t>BEH01|BEH04</t>
  </si>
  <si>
    <t>BEH01|BEH05</t>
  </si>
  <si>
    <t>BEH01|BEH06</t>
  </si>
  <si>
    <t>BEH01|RES01</t>
  </si>
  <si>
    <t>BEH01|RES02</t>
  </si>
  <si>
    <t>BEH01|RES03</t>
  </si>
  <si>
    <t>BEH01|RES04</t>
  </si>
  <si>
    <t>BEH01|RES05</t>
  </si>
  <si>
    <t>BEH02|BEH03</t>
  </si>
  <si>
    <t>BEH02|BEH04</t>
  </si>
  <si>
    <t>BEH02|BEH05</t>
  </si>
  <si>
    <t>BEH02|BEH06</t>
  </si>
  <si>
    <t>BEH02|RES01</t>
  </si>
  <si>
    <t>BEH02|RES02</t>
  </si>
  <si>
    <t>BEH02|RES03</t>
  </si>
  <si>
    <t>BEH02|RES04</t>
  </si>
  <si>
    <t>BEH02|RES05</t>
  </si>
  <si>
    <t>BEH03|BEH04</t>
  </si>
  <si>
    <t>BEH03|BEH05</t>
  </si>
  <si>
    <t>BEH03|BEH06</t>
  </si>
  <si>
    <t>BEH03|RES01</t>
  </si>
  <si>
    <t>BEH03|RES02</t>
  </si>
  <si>
    <t>BEH03|RES05</t>
  </si>
  <si>
    <t>BEH04|BEH05</t>
  </si>
  <si>
    <t>BEH04|BEH06</t>
  </si>
  <si>
    <t>BEH05|BEH06</t>
  </si>
  <si>
    <t>BEH06|RES04</t>
  </si>
  <si>
    <t>RES01|RES02</t>
  </si>
  <si>
    <t>RES01|RES03</t>
  </si>
  <si>
    <t>RES01|RES04</t>
  </si>
  <si>
    <t>RES01|RES05</t>
  </si>
  <si>
    <t>RES01|RES06</t>
  </si>
  <si>
    <t>RES02|RES05</t>
  </si>
  <si>
    <t>RES03|RES04</t>
  </si>
  <si>
    <t>RES03|RES05</t>
  </si>
  <si>
    <t>RES03|RES06</t>
  </si>
  <si>
    <t>RES04|RES05</t>
  </si>
  <si>
    <t>RES04|RES06</t>
  </si>
  <si>
    <t>RES05|RES06</t>
  </si>
  <si>
    <t>Rule ID</t>
  </si>
  <si>
    <t>Dominant category</t>
  </si>
  <si>
    <t>Share above</t>
  </si>
  <si>
    <t>Complement categories</t>
  </si>
  <si>
    <t>Share below</t>
  </si>
  <si>
    <t>INF_CONC</t>
  </si>
  <si>
    <t>Operations+Preparedness+Governance</t>
  </si>
  <si>
    <t>OPS_CONC</t>
  </si>
  <si>
    <t>Infrastructure+Preparedness+Governance</t>
  </si>
  <si>
    <t>PRE_CONC</t>
  </si>
  <si>
    <t>Infrastructure+Operations</t>
  </si>
  <si>
    <t>GOV_CONC</t>
  </si>
  <si>
    <t>Infrastructure+Operations+Preparedness</t>
  </si>
  <si>
    <t>BEH_CONC</t>
  </si>
  <si>
    <t>RES_CONC</t>
  </si>
  <si>
    <t>Event ID</t>
  </si>
  <si>
    <t>Deck</t>
  </si>
  <si>
    <t>Event title</t>
  </si>
  <si>
    <t>Continuity</t>
  </si>
  <si>
    <t>Budget</t>
  </si>
  <si>
    <t>EVT-V2-PC-01</t>
  </si>
  <si>
    <t>intermediate</t>
  </si>
  <si>
    <t>Early severe heatwave</t>
  </si>
  <si>
    <t>EVT-V2-PC-02</t>
  </si>
  <si>
    <t>Cooling-system stress</t>
  </si>
  <si>
    <t>EVT-V2-PC-03</t>
  </si>
  <si>
    <t>Procurement delay</t>
  </si>
  <si>
    <t>EVT-V2-PC-04</t>
  </si>
  <si>
    <t>Public demand for visible action</t>
  </si>
  <si>
    <t>EVT-V2-PC-05</t>
  </si>
  <si>
    <t>Resistance to repeated restrictions</t>
  </si>
  <si>
    <t>EVT-V2-PC-06</t>
  </si>
  <si>
    <t>Emergency coordination opportunity</t>
  </si>
  <si>
    <t>EVT-V2-PC-07</t>
  </si>
  <si>
    <t>Supplementary adaptation funding</t>
  </si>
  <si>
    <t>EVT-V2-PC-08</t>
  </si>
  <si>
    <t>Interdepartmental mobilisation</t>
  </si>
  <si>
    <t>EVT-V2-PC-09</t>
  </si>
  <si>
    <t>final</t>
  </si>
  <si>
    <t>Compound heat and service-continuity stress</t>
  </si>
  <si>
    <t>EVT-V2-PC-10</t>
  </si>
  <si>
    <t>Grid-pressure emergency</t>
  </si>
  <si>
    <t>EVT-V2-PC-11</t>
  </si>
  <si>
    <t>Supply-chain disruption</t>
  </si>
  <si>
    <t>EVT-V2-PC-12</t>
  </si>
  <si>
    <t>Heat-health escalation</t>
  </si>
  <si>
    <t>EVT-V2-FF-01</t>
  </si>
  <si>
    <t>Staff absence surge</t>
  </si>
  <si>
    <t>EVT-V2-FF-02</t>
  </si>
  <si>
    <t>Vulnerable-group health incident</t>
  </si>
  <si>
    <t>EVT-V2-FF-03</t>
  </si>
  <si>
    <t>Basic service failure</t>
  </si>
  <si>
    <t>EVT-V2-FF-04</t>
  </si>
  <si>
    <t>Supplier price shock</t>
  </si>
  <si>
    <t>EVT-V2-FF-05</t>
  </si>
  <si>
    <t>Community mutual-aid</t>
  </si>
  <si>
    <t>EVT-V2-FF-06</t>
  </si>
  <si>
    <t>Health-service partnership</t>
  </si>
  <si>
    <t>EVT-V2-FF-07</t>
  </si>
  <si>
    <t>Targeted small grant</t>
  </si>
  <si>
    <t>EVT-V2-FF-08</t>
  </si>
  <si>
    <t>Emergency volunteer mobilisation</t>
  </si>
  <si>
    <t>EVT-V2-FF-09</t>
  </si>
  <si>
    <t>Severe heatwave under scarcity</t>
  </si>
  <si>
    <t>EVT-V2-FF-10</t>
  </si>
  <si>
    <t>Equipment outage</t>
  </si>
  <si>
    <t>EVT-V2-FF-11</t>
  </si>
  <si>
    <t>Water disruption</t>
  </si>
  <si>
    <t>EVT-V2-FF-12</t>
  </si>
  <si>
    <t>Compound staffing stress</t>
  </si>
  <si>
    <t>EVT-V2-CZ-01</t>
  </si>
  <si>
    <t>Spending scrutiny</t>
  </si>
  <si>
    <t>EVT-V2-CZ-02</t>
  </si>
  <si>
    <t>Resistance to disruption</t>
  </si>
  <si>
    <t>EVT-V2-CZ-03</t>
  </si>
  <si>
    <t>Mild season complacency</t>
  </si>
  <si>
    <t>EVT-V2-CZ-04</t>
  </si>
  <si>
    <t>Long-range risk forecast</t>
  </si>
  <si>
    <t>EVT-V2-CZ-05</t>
  </si>
  <si>
    <t>Favourable procurement window</t>
  </si>
  <si>
    <t>EVT-V2-CZ-06</t>
  </si>
  <si>
    <t>Monitoring partnership</t>
  </si>
  <si>
    <t>EVT-V2-CZ-07</t>
  </si>
  <si>
    <t>Insurance incentive</t>
  </si>
  <si>
    <t>EVT-V2-CZ-08</t>
  </si>
  <si>
    <t>Reversible pilot window</t>
  </si>
  <si>
    <t>EVT-V2-CZ-09</t>
  </si>
  <si>
    <t>Preparedness stress test</t>
  </si>
  <si>
    <t>EVT-V2-CZ-10</t>
  </si>
  <si>
    <t>Budget-audit challenge</t>
  </si>
  <si>
    <t>EVT-V2-CZ-11</t>
  </si>
  <si>
    <t>Heat anomaly</t>
  </si>
  <si>
    <t>EVT-V2-CZ-12</t>
  </si>
  <si>
    <t>Compound confidence shock</t>
  </si>
  <si>
    <t>EVT-V2-SR-01</t>
  </si>
  <si>
    <t>Hidden indoor exposure</t>
  </si>
  <si>
    <t>EVT-V2-SR-02</t>
  </si>
  <si>
    <t>Delayed case detection</t>
  </si>
  <si>
    <t>EVT-V2-SR-03</t>
  </si>
  <si>
    <t>Weak warning signal</t>
  </si>
  <si>
    <t>EVT-V2-SR-04</t>
  </si>
  <si>
    <t>Decision-maker complacency</t>
  </si>
  <si>
    <t>EVT-V2-SR-05</t>
  </si>
  <si>
    <t>Reporting network</t>
  </si>
  <si>
    <t>EVT-V2-SR-06</t>
  </si>
  <si>
    <t>Public-health data partnership</t>
  </si>
  <si>
    <t>EVT-V2-SR-07</t>
  </si>
  <si>
    <t>Low-cost monitoring</t>
  </si>
  <si>
    <t>EVT-V2-SR-08</t>
  </si>
  <si>
    <t>Community awareness trigger</t>
  </si>
  <si>
    <t>EVT-V2-SR-09</t>
  </si>
  <si>
    <t>Latent-vulnerability stress</t>
  </si>
  <si>
    <t>EVT-V2-SR-10</t>
  </si>
  <si>
    <t>Sensor failure</t>
  </si>
  <si>
    <t>EVT-V2-SR-11</t>
  </si>
  <si>
    <t>Late heat alert</t>
  </si>
  <si>
    <t>EVT-V2-SR-12</t>
  </si>
  <si>
    <t>Compound hidden-risk event</t>
  </si>
  <si>
    <t>M.parameters key</t>
  </si>
  <si>
    <t>Value</t>
  </si>
  <si>
    <t>coordinationLoad.contractVersion</t>
  </si>
  <si>
    <t>coordination-load-v2</t>
  </si>
  <si>
    <t>coordinationLoad.actionWeights.start</t>
  </si>
  <si>
    <t>coordinationLoad.actionWeights.upgrade</t>
  </si>
  <si>
    <t>coordinationLoad.actionWeights.repair</t>
  </si>
  <si>
    <t>coordinationLoad.heterogeneityByCategoryCount.0</t>
  </si>
  <si>
    <t>coordinationLoad.heterogeneityByCategoryCount.1</t>
  </si>
  <si>
    <t>coordinationLoad.heterogeneityByCategoryCount.2</t>
  </si>
  <si>
    <t>coordinationLoad.heterogeneityByCategoryCount.3</t>
  </si>
  <si>
    <t>coordinationLoad.heterogeneityByCategoryCount.4</t>
  </si>
  <si>
    <t>coordinationLoad.heterogeneityByCategoryCount.5</t>
  </si>
  <si>
    <t>coordinationLoad.heterogeneityByCategoryCount.6</t>
  </si>
  <si>
    <t>coordinationLoad.positiveSpanningLinkBonus</t>
  </si>
  <si>
    <t>coordinationLoad.capacity</t>
  </si>
  <si>
    <t>coordinationLoad.alpha</t>
  </si>
  <si>
    <t>coordinationLoad.exponent</t>
  </si>
  <si>
    <t>coordinationLoad.conflictLoad</t>
  </si>
  <si>
    <t>coordinationLoad.stretchedEffectivenessThreshold</t>
  </si>
  <si>
    <t>saturation.0</t>
  </si>
  <si>
    <t>saturation.1</t>
  </si>
  <si>
    <t>saturation.2</t>
  </si>
  <si>
    <t>saturation.3</t>
  </si>
  <si>
    <t>saturation.4</t>
  </si>
  <si>
    <t>saturation.5</t>
  </si>
  <si>
    <t>concentrationDominantShare</t>
  </si>
  <si>
    <t>complementMinimumShare</t>
  </si>
  <si>
    <t>positiveInteractionRiskCap</t>
  </si>
  <si>
    <t>positiveInteractionResilienceCap</t>
  </si>
  <si>
    <t>residualRisk.form</t>
  </si>
  <si>
    <t>asymptotic-with-hard-floor</t>
  </si>
  <si>
    <t>residualRisk.k.PC</t>
  </si>
  <si>
    <t>residualRisk.k.FF</t>
  </si>
  <si>
    <t>residualRisk.k.CZ</t>
  </si>
  <si>
    <t>residualRisk.k.SR</t>
  </si>
  <si>
    <t>acceptability.weightedMeanShare</t>
  </si>
  <si>
    <t>acceptability.minimumShare</t>
  </si>
  <si>
    <t>activeScoreRebalance.contractVersion</t>
  </si>
  <si>
    <t>active-score-rebalance-v1</t>
  </si>
  <si>
    <t>activeScoreRebalance.dynamicCoordination.enabled</t>
  </si>
  <si>
    <t>activeScoreRebalance.dynamicCoordination.eligibleCategories.0</t>
  </si>
  <si>
    <t>activeScoreRebalance.dynamicCoordination.eligibleCategories.1</t>
  </si>
  <si>
    <t>activeScoreRebalance.dynamicCoordination.eligibleTags.0</t>
  </si>
  <si>
    <t>coordination</t>
  </si>
  <si>
    <t>activeScoreRebalance.dynamicCoordination.eligibleTags.1</t>
  </si>
  <si>
    <t>planning</t>
  </si>
  <si>
    <t>activeScoreRebalance.dynamicCoordination.eligibleTags.2</t>
  </si>
  <si>
    <t>monitoring</t>
  </si>
  <si>
    <t>activeScoreRebalance.dynamicCoordination.eligibleTags.3</t>
  </si>
  <si>
    <t>continuity</t>
  </si>
  <si>
    <t>activeScoreRebalance.dynamicCoordination.minimumMaturity</t>
  </si>
  <si>
    <t>activeScoreRebalance.dynamicCoordination.contributionPerMatureLevel</t>
  </si>
  <si>
    <t>activeScoreRebalance.dynamicCoordination.perInterventionCap</t>
  </si>
  <si>
    <t>activeScoreRebalance.dynamicCoordination.maximumBonus</t>
  </si>
  <si>
    <t>activeScoreRebalance.coherence.mode</t>
  </si>
  <si>
    <t>graded-compatible-capacity</t>
  </si>
  <si>
    <t>activeScoreRebalance.coherence.structuralWeight</t>
  </si>
  <si>
    <t>activeScoreRebalance.coherence.responseWeight</t>
  </si>
  <si>
    <t>activeScoreRebalance.coherence.firstTurnStructuralOnly</t>
  </si>
  <si>
    <t>activeScoreRebalance.coherence.fullResponseCapacity</t>
  </si>
  <si>
    <t>activeScoreRebalance.coherence.missedResponseCapacityThreshold</t>
  </si>
  <si>
    <t>activeScoreRebalance.shockProtection.enabled</t>
  </si>
  <si>
    <t>activeScoreRebalance.shockProtection.maximumProtection</t>
  </si>
  <si>
    <t>activeScoreRebalance.shockProtection.aggregation</t>
  </si>
  <si>
    <t>maximum-compatible-capacity</t>
  </si>
  <si>
    <t>activeScoreRebalance.shockProtection.applyToDelayedEffects</t>
  </si>
  <si>
    <t>activeScoreRebalance.shockProtection.harmfulMetrics.0</t>
  </si>
  <si>
    <t>risk</t>
  </si>
  <si>
    <t>activeScoreRebalance.shockProtection.harmfulMetrics.1</t>
  </si>
  <si>
    <t>resilience</t>
  </si>
  <si>
    <t>activeScoreRebalance.shockProtection.harmfulMetrics.2</t>
  </si>
  <si>
    <t>activeScoreRebalance.shockProtection.harmfulMetrics.3</t>
  </si>
  <si>
    <t>acceptability</t>
  </si>
  <si>
    <t>activeScoreRebalance.capabilityMaturity.enabled</t>
  </si>
  <si>
    <t>activeScoreRebalance.capabilityMaturity.excludeFalseFriends</t>
  </si>
  <si>
    <t>activeScoreRebalance.capabilityMaturity.tagAggregation</t>
  </si>
  <si>
    <t>saturating-union</t>
  </si>
  <si>
    <t>activeScoreRebalance.capabilityMaturity.curvesByCategory.Infrastructure.l1.0</t>
  </si>
  <si>
    <t>activeScoreRebalance.capabilityMaturity.curvesByCategory.Infrastructure.l1.1</t>
  </si>
  <si>
    <t>activeScoreRebalance.capabilityMaturity.curvesByCategory.Infrastructure.l1.2</t>
  </si>
  <si>
    <t>activeScoreRebalance.capabilityMaturity.curvesByCategory.Infrastructure.l2Direct.0</t>
  </si>
  <si>
    <t>activeScoreRebalance.capabilityMaturity.curvesByCategory.Infrastructure.l2Direct.1</t>
  </si>
  <si>
    <t>activeScoreRebalance.capabilityMaturity.curvesByCategory.Infrastructure.l2Direct.2</t>
  </si>
  <si>
    <t>activeScoreRebalance.capabilityMaturity.curvesByCategory.Infrastructure.l2Upgrade.0</t>
  </si>
  <si>
    <t>activeScoreRebalance.capabilityMaturity.curvesByCategory.Infrastructure.l2Upgrade.1</t>
  </si>
  <si>
    <t>activeScoreRebalance.capabilityMaturity.curvesByCategory.Infrastructure.l2Upgrade.2</t>
  </si>
  <si>
    <t>scorePassThreshold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</si>
</sst>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0"/>
      <color rgb="FF203346"/>
      <name val="Arial"/>
    </font>
    <font>
      <b/>
      <sz val="10"/>
      <color rgb="FFFFFFFF"/>
      <name val="Arial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243F55"/>
      </patternFill>
    </fill>
    <fill>
      <patternFill patternType="solid">
        <fgColor rgb="FFFFF0B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0" borderId="0" xfId="1" applyFont="1"/>
    <xf numFmtId="0" fontId="1" fillId="0" borderId="0" xfId="1" applyFont="1" applyAlignment="1">
      <alignment vertical="center"/>
    </xf>
    <xf numFmtId="0" fontId="2" fillId="2" borderId="0" xfId="1" applyFont="1" applyFill="1" applyAlignment="1">
      <alignment vertical="center" wrapText="1"/>
    </xf>
    <xf numFmtId="0" fontId="1" fillId="0" borderId="0" xfId="1" applyFont="1" applyAlignment="1">
      <alignment vertical="center" wrapText="1"/>
    </xf>
    <xf numFmtId="0" fontId="1" fillId="0" borderId="0" xfId="1" applyFont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3" borderId="0" xfId="1" applyFont="1" applyFill="1" applyAlignment="1">
      <alignment vertical="center"/>
    </xf>
    <xf numFmtId="0" fontId="1" fillId="0" borderId="0" xfId="1" applyFont="1" applyAlignment="1">
      <alignment horizontal="center" vertical="center"/>
    </xf>
  </cellXfs>
  <cellStyles count="2">
    <cellStyle name="Normal" xfId="1" xr:uid="{00000000-0005-0000-0000-000000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3F55"/>
  </sheetPr>
  <dimension ref="A1:B21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3.8"/>
  <cols>
    <col min="1" max="1" width="25" customWidth="1"/>
    <col min="2" max="2" width="112" customWidth="1"/>
  </cols>
  <sheetData>
    <row r="1" spans="1:2" ht="36" customHeight="1">
      <c r="A1" s="3" t="s">
        <v>0</v>
      </c>
      <c r="B1" s="3" t="s">
        <v>1</v>
      </c>
    </row>
    <row r="2" spans="1:2" ht="31.95" customHeight="1">
      <c r="A2" s="2" t="s">
        <v>2</v>
      </c>
      <c r="B2" s="4" t="s">
        <v>3</v>
      </c>
    </row>
    <row r="3" spans="1:2" ht="31.95" customHeight="1">
      <c r="A3" s="2" t="s">
        <v>4</v>
      </c>
      <c r="B3" s="4" t="s">
        <v>5</v>
      </c>
    </row>
    <row r="4" spans="1:2" ht="31.95" customHeight="1">
      <c r="A4" s="2" t="s">
        <v>6</v>
      </c>
      <c r="B4" s="4" t="s">
        <v>7</v>
      </c>
    </row>
    <row r="5" spans="1:2" ht="31.95" customHeight="1">
      <c r="A5" s="2" t="s">
        <v>8</v>
      </c>
      <c r="B5" s="4" t="s">
        <v>9</v>
      </c>
    </row>
    <row r="6" spans="1:2" ht="31.95" customHeight="1">
      <c r="A6" s="2" t="s">
        <v>10</v>
      </c>
      <c r="B6" s="4" t="s">
        <v>11</v>
      </c>
    </row>
    <row r="7" spans="1:2" ht="31.95" customHeight="1">
      <c r="A7" s="2" t="s">
        <v>12</v>
      </c>
      <c r="B7" s="4" t="s">
        <v>13</v>
      </c>
    </row>
    <row r="8" spans="1:2" ht="31.95" customHeight="1">
      <c r="A8" s="2" t="s">
        <v>14</v>
      </c>
      <c r="B8" s="4" t="s">
        <v>15</v>
      </c>
    </row>
    <row r="9" spans="1:2" ht="31.95" customHeight="1">
      <c r="A9" s="2" t="s">
        <v>16</v>
      </c>
      <c r="B9" s="4" t="s">
        <v>17</v>
      </c>
    </row>
    <row r="10" spans="1:2" ht="31.95" customHeight="1">
      <c r="A10" s="2" t="s">
        <v>18</v>
      </c>
      <c r="B10" s="4" t="s">
        <v>19</v>
      </c>
    </row>
    <row r="11" spans="1:2" ht="31.95" customHeight="1">
      <c r="A11" s="2" t="s">
        <v>20</v>
      </c>
      <c r="B11" s="4" t="s">
        <v>21</v>
      </c>
    </row>
    <row r="12" spans="1:2" ht="31.95" customHeight="1">
      <c r="A12" s="2" t="s">
        <v>22</v>
      </c>
      <c r="B12" s="4" t="s">
        <v>23</v>
      </c>
    </row>
    <row r="13" spans="1:2" ht="31.95" customHeight="1">
      <c r="A13" s="2" t="s">
        <v>24</v>
      </c>
      <c r="B13" s="4" t="s">
        <v>25</v>
      </c>
    </row>
    <row r="14" spans="1:2" ht="31.95" customHeight="1">
      <c r="A14" s="2" t="s">
        <v>26</v>
      </c>
      <c r="B14" s="4" t="s">
        <v>27</v>
      </c>
    </row>
    <row r="15" spans="1:2" ht="31.95" customHeight="1">
      <c r="A15" s="2" t="s">
        <v>28</v>
      </c>
      <c r="B15" s="4" t="s">
        <v>29</v>
      </c>
    </row>
    <row r="16" spans="1:2" ht="31.95" customHeight="1">
      <c r="A16" s="2" t="s">
        <v>30</v>
      </c>
      <c r="B16" s="4" t="s">
        <v>31</v>
      </c>
    </row>
    <row r="17" spans="1:2" ht="31.95" customHeight="1">
      <c r="A17" s="2" t="s">
        <v>32</v>
      </c>
      <c r="B17" s="4" t="s">
        <v>33</v>
      </c>
    </row>
    <row r="18" spans="1:2" ht="31.95" customHeight="1">
      <c r="A18" s="2" t="s">
        <v>34</v>
      </c>
      <c r="B18" s="4" t="s">
        <v>35</v>
      </c>
    </row>
    <row r="19" spans="1:2" ht="31.95" customHeight="1">
      <c r="A19" s="2" t="s">
        <v>36</v>
      </c>
      <c r="B19" s="4" t="s">
        <v>37</v>
      </c>
    </row>
    <row r="20" spans="1:2" ht="31.95" customHeight="1">
      <c r="A20" s="1" t="s">
        <v>38</v>
      </c>
      <c r="B20" s="1" t="s">
        <v>39</v>
      </c>
    </row>
    <row r="21" spans="1:2" ht="31.95" customHeight="1">
      <c r="A21" s="1" t="s">
        <v>40</v>
      </c>
      <c r="B21" s="1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3.8"/>
  <cols>
    <col min="1" max="1" width="14" customWidth="1"/>
    <col min="2" max="2" width="10" customWidth="1"/>
    <col min="3" max="4" width="15" customWidth="1"/>
    <col min="5" max="5" width="18" customWidth="1"/>
    <col min="6" max="8" width="16" customWidth="1"/>
    <col min="9" max="9" width="17" customWidth="1"/>
  </cols>
  <sheetData>
    <row r="1" spans="1:9" ht="36" customHeight="1">
      <c r="A1" s="3" t="s">
        <v>42</v>
      </c>
      <c r="B1" s="3" t="s">
        <v>43</v>
      </c>
      <c r="C1" s="3" t="s">
        <v>2</v>
      </c>
      <c r="D1" s="3" t="s">
        <v>44</v>
      </c>
      <c r="E1" s="3" t="s">
        <v>45</v>
      </c>
      <c r="F1" s="3" t="s">
        <v>46</v>
      </c>
      <c r="G1" s="3" t="s">
        <v>47</v>
      </c>
      <c r="H1" s="3" t="s">
        <v>48</v>
      </c>
      <c r="I1" s="3" t="s">
        <v>49</v>
      </c>
    </row>
    <row r="2" spans="1:9" ht="25.05" customHeight="1">
      <c r="A2" s="2" t="s">
        <v>50</v>
      </c>
      <c r="B2" s="2">
        <v>1</v>
      </c>
      <c r="C2" s="2">
        <f>Scenarios!F2</f>
        <v>44</v>
      </c>
      <c r="D2" s="2">
        <f>0</f>
        <v>0</v>
      </c>
      <c r="E2" s="6">
        <v>0</v>
      </c>
      <c r="F2" s="2">
        <f t="shared" ref="F2:F13" si="0">C2+D2+E2</f>
        <v>44</v>
      </c>
      <c r="G2" s="6">
        <v>0</v>
      </c>
      <c r="H2" s="6">
        <v>0</v>
      </c>
      <c r="I2" s="2">
        <f t="shared" ref="I2:I13" si="1">F2-G2+H2</f>
        <v>44</v>
      </c>
    </row>
    <row r="3" spans="1:9" ht="25.05" customHeight="1">
      <c r="A3" s="2" t="s">
        <v>50</v>
      </c>
      <c r="B3" s="2">
        <v>2</v>
      </c>
      <c r="C3" s="2">
        <f>Scenarios!G2</f>
        <v>33</v>
      </c>
      <c r="D3" s="2">
        <f>I2</f>
        <v>44</v>
      </c>
      <c r="E3" s="6">
        <v>0</v>
      </c>
      <c r="F3" s="2">
        <f t="shared" si="0"/>
        <v>77</v>
      </c>
      <c r="G3" s="6">
        <v>0</v>
      </c>
      <c r="H3" s="6">
        <v>0</v>
      </c>
      <c r="I3" s="2">
        <f t="shared" si="1"/>
        <v>77</v>
      </c>
    </row>
    <row r="4" spans="1:9" ht="25.05" customHeight="1">
      <c r="A4" s="2" t="s">
        <v>50</v>
      </c>
      <c r="B4" s="2">
        <v>3</v>
      </c>
      <c r="C4" s="2">
        <f>Scenarios!H2</f>
        <v>23</v>
      </c>
      <c r="D4" s="2">
        <f>I3</f>
        <v>77</v>
      </c>
      <c r="E4" s="6">
        <v>0</v>
      </c>
      <c r="F4" s="2">
        <f t="shared" si="0"/>
        <v>100</v>
      </c>
      <c r="G4" s="6">
        <v>0</v>
      </c>
      <c r="H4" s="6">
        <v>0</v>
      </c>
      <c r="I4" s="2">
        <f t="shared" si="1"/>
        <v>100</v>
      </c>
    </row>
    <row r="5" spans="1:9" ht="25.05" customHeight="1">
      <c r="A5" s="2" t="s">
        <v>51</v>
      </c>
      <c r="B5" s="2">
        <v>1</v>
      </c>
      <c r="C5" s="2">
        <f>Scenarios!F3</f>
        <v>32</v>
      </c>
      <c r="D5" s="2">
        <f>0</f>
        <v>0</v>
      </c>
      <c r="E5" s="6">
        <v>0</v>
      </c>
      <c r="F5" s="2">
        <f t="shared" si="0"/>
        <v>32</v>
      </c>
      <c r="G5" s="6">
        <v>0</v>
      </c>
      <c r="H5" s="6">
        <v>0</v>
      </c>
      <c r="I5" s="2">
        <f t="shared" si="1"/>
        <v>32</v>
      </c>
    </row>
    <row r="6" spans="1:9" ht="25.05" customHeight="1">
      <c r="A6" s="2" t="s">
        <v>51</v>
      </c>
      <c r="B6" s="2">
        <v>2</v>
      </c>
      <c r="C6" s="2">
        <f>Scenarios!G3</f>
        <v>23</v>
      </c>
      <c r="D6" s="2">
        <f>I5</f>
        <v>32</v>
      </c>
      <c r="E6" s="6">
        <v>0</v>
      </c>
      <c r="F6" s="2">
        <f t="shared" si="0"/>
        <v>55</v>
      </c>
      <c r="G6" s="6">
        <v>0</v>
      </c>
      <c r="H6" s="6">
        <v>0</v>
      </c>
      <c r="I6" s="2">
        <f t="shared" si="1"/>
        <v>55</v>
      </c>
    </row>
    <row r="7" spans="1:9" ht="25.05" customHeight="1">
      <c r="A7" s="2" t="s">
        <v>51</v>
      </c>
      <c r="B7" s="2">
        <v>3</v>
      </c>
      <c r="C7" s="2">
        <f>Scenarios!H3</f>
        <v>15</v>
      </c>
      <c r="D7" s="2">
        <f>I6</f>
        <v>55</v>
      </c>
      <c r="E7" s="6">
        <v>0</v>
      </c>
      <c r="F7" s="2">
        <f t="shared" si="0"/>
        <v>70</v>
      </c>
      <c r="G7" s="6">
        <v>0</v>
      </c>
      <c r="H7" s="6">
        <v>0</v>
      </c>
      <c r="I7" s="2">
        <f t="shared" si="1"/>
        <v>70</v>
      </c>
    </row>
    <row r="8" spans="1:9" ht="25.05" customHeight="1">
      <c r="A8" s="2" t="s">
        <v>52</v>
      </c>
      <c r="B8" s="2">
        <v>1</v>
      </c>
      <c r="C8" s="2">
        <f>Scenarios!F4</f>
        <v>40</v>
      </c>
      <c r="D8" s="2">
        <f>0</f>
        <v>0</v>
      </c>
      <c r="E8" s="6">
        <v>0</v>
      </c>
      <c r="F8" s="2">
        <f t="shared" si="0"/>
        <v>40</v>
      </c>
      <c r="G8" s="6">
        <v>0</v>
      </c>
      <c r="H8" s="6">
        <v>0</v>
      </c>
      <c r="I8" s="2">
        <f t="shared" si="1"/>
        <v>40</v>
      </c>
    </row>
    <row r="9" spans="1:9" ht="25.05" customHeight="1">
      <c r="A9" s="2" t="s">
        <v>52</v>
      </c>
      <c r="B9" s="2">
        <v>2</v>
      </c>
      <c r="C9" s="2">
        <f>Scenarios!G4</f>
        <v>35</v>
      </c>
      <c r="D9" s="2">
        <f>I8</f>
        <v>40</v>
      </c>
      <c r="E9" s="6">
        <v>0</v>
      </c>
      <c r="F9" s="2">
        <f t="shared" si="0"/>
        <v>75</v>
      </c>
      <c r="G9" s="6">
        <v>0</v>
      </c>
      <c r="H9" s="6">
        <v>0</v>
      </c>
      <c r="I9" s="2">
        <f t="shared" si="1"/>
        <v>75</v>
      </c>
    </row>
    <row r="10" spans="1:9" ht="25.05" customHeight="1">
      <c r="A10" s="2" t="s">
        <v>52</v>
      </c>
      <c r="B10" s="2">
        <v>3</v>
      </c>
      <c r="C10" s="2">
        <f>Scenarios!H4</f>
        <v>25</v>
      </c>
      <c r="D10" s="2">
        <f>I9</f>
        <v>75</v>
      </c>
      <c r="E10" s="6">
        <v>0</v>
      </c>
      <c r="F10" s="2">
        <f t="shared" si="0"/>
        <v>100</v>
      </c>
      <c r="G10" s="6">
        <v>0</v>
      </c>
      <c r="H10" s="6">
        <v>0</v>
      </c>
      <c r="I10" s="2">
        <f t="shared" si="1"/>
        <v>100</v>
      </c>
    </row>
    <row r="11" spans="1:9" ht="25.05" customHeight="1">
      <c r="A11" s="2" t="s">
        <v>53</v>
      </c>
      <c r="B11" s="2">
        <v>1</v>
      </c>
      <c r="C11" s="2">
        <f>Scenarios!F5</f>
        <v>33</v>
      </c>
      <c r="D11" s="2">
        <f>0</f>
        <v>0</v>
      </c>
      <c r="E11" s="6">
        <v>0</v>
      </c>
      <c r="F11" s="2">
        <f t="shared" si="0"/>
        <v>33</v>
      </c>
      <c r="G11" s="6">
        <v>0</v>
      </c>
      <c r="H11" s="6">
        <v>0</v>
      </c>
      <c r="I11" s="2">
        <f t="shared" si="1"/>
        <v>33</v>
      </c>
    </row>
    <row r="12" spans="1:9" ht="25.05" customHeight="1">
      <c r="A12" s="2" t="s">
        <v>53</v>
      </c>
      <c r="B12" s="2">
        <v>2</v>
      </c>
      <c r="C12" s="2">
        <f>Scenarios!G5</f>
        <v>22</v>
      </c>
      <c r="D12" s="2">
        <f>I11</f>
        <v>33</v>
      </c>
      <c r="E12" s="6">
        <v>0</v>
      </c>
      <c r="F12" s="2">
        <f t="shared" si="0"/>
        <v>55</v>
      </c>
      <c r="G12" s="6">
        <v>0</v>
      </c>
      <c r="H12" s="6">
        <v>0</v>
      </c>
      <c r="I12" s="2">
        <f t="shared" si="1"/>
        <v>55</v>
      </c>
    </row>
    <row r="13" spans="1:9" ht="25.05" customHeight="1">
      <c r="A13" s="2" t="s">
        <v>53</v>
      </c>
      <c r="B13" s="2">
        <v>3</v>
      </c>
      <c r="C13" s="2">
        <f>Scenarios!H5</f>
        <v>15</v>
      </c>
      <c r="D13" s="2">
        <f>I12</f>
        <v>55</v>
      </c>
      <c r="E13" s="6">
        <v>0</v>
      </c>
      <c r="F13" s="2">
        <f t="shared" si="0"/>
        <v>70</v>
      </c>
      <c r="G13" s="6">
        <v>0</v>
      </c>
      <c r="H13" s="6">
        <v>0</v>
      </c>
      <c r="I13" s="2">
        <f t="shared" si="1"/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3.8"/>
  <cols>
    <col min="1" max="1" width="13" customWidth="1"/>
    <col min="2" max="2" width="10" customWidth="1"/>
    <col min="3" max="3" width="12" customWidth="1"/>
    <col min="4" max="4" width="11" customWidth="1"/>
    <col min="5" max="6" width="14" customWidth="1"/>
    <col min="7" max="7" width="15" customWidth="1"/>
    <col min="8" max="8" width="16" customWidth="1"/>
    <col min="9" max="10" width="13" customWidth="1"/>
    <col min="11" max="12" width="15" customWidth="1"/>
    <col min="13" max="13" width="14" customWidth="1"/>
    <col min="14" max="14" width="15" customWidth="1"/>
  </cols>
  <sheetData>
    <row r="1" spans="1:14" ht="36" customHeight="1">
      <c r="A1" s="3" t="s">
        <v>54</v>
      </c>
      <c r="B1" s="3" t="s">
        <v>55</v>
      </c>
      <c r="C1" s="3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  <c r="J1" s="3" t="s">
        <v>63</v>
      </c>
      <c r="K1" s="3" t="s">
        <v>64</v>
      </c>
      <c r="L1" s="3" t="s">
        <v>65</v>
      </c>
      <c r="M1" s="3" t="s">
        <v>66</v>
      </c>
      <c r="N1" s="3" t="s">
        <v>67</v>
      </c>
    </row>
    <row r="2" spans="1:14" ht="25.05" customHeight="1">
      <c r="A2" s="2" t="s">
        <v>68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2">
        <f>ROUND(B2*Parameters!$B$3+C2*Parameters!$B$4+D2*Parameters!$B$5,6)</f>
        <v>0</v>
      </c>
      <c r="I2" s="2">
        <f>INDEX(Parameters!$B$6:$B$12,E2+1)</f>
        <v>0</v>
      </c>
      <c r="J2" s="2">
        <f>MIN(I2,F2*Parameters!$B$13)</f>
        <v>0</v>
      </c>
      <c r="K2" s="2">
        <f>ROUND(MAX(0,H2+I2-J2),6)</f>
        <v>0</v>
      </c>
      <c r="L2" s="2">
        <f>Parameters!$B$14+G2</f>
        <v>4</v>
      </c>
      <c r="M2" s="2">
        <f>ROUND(MAX(0,K2-L2),6)</f>
        <v>0</v>
      </c>
      <c r="N2" s="2">
        <f>ROUND(1/(1+Parameters!$B$15*M2^Parameters!$B$16),6)</f>
        <v>1</v>
      </c>
    </row>
    <row r="3" spans="1:14" ht="25.05" customHeight="1">
      <c r="A3" s="2" t="s">
        <v>69</v>
      </c>
      <c r="B3" s="6">
        <v>4</v>
      </c>
      <c r="C3" s="6">
        <v>0</v>
      </c>
      <c r="D3" s="6">
        <v>0</v>
      </c>
      <c r="E3" s="6">
        <v>1</v>
      </c>
      <c r="F3" s="6">
        <v>0</v>
      </c>
      <c r="G3" s="6">
        <v>0</v>
      </c>
      <c r="H3" s="2">
        <f>ROUND(B3*Parameters!$B$3+C3*Parameters!$B$4+D3*Parameters!$B$5,6)</f>
        <v>1.6</v>
      </c>
      <c r="I3" s="2">
        <f>INDEX(Parameters!$B$6:$B$12,E3+1)</f>
        <v>0</v>
      </c>
      <c r="J3" s="2">
        <f>MIN(I3,F3*Parameters!$B$13)</f>
        <v>0</v>
      </c>
      <c r="K3" s="2">
        <f>ROUND(MAX(0,H3+I3-J3),6)</f>
        <v>1.6</v>
      </c>
      <c r="L3" s="2">
        <f>Parameters!$B$14+G3</f>
        <v>4</v>
      </c>
      <c r="M3" s="2">
        <f>ROUND(MAX(0,K3-L3),6)</f>
        <v>0</v>
      </c>
      <c r="N3" s="2">
        <f>ROUND(1/(1+Parameters!$B$15*M3^Parameters!$B$16),6)</f>
        <v>1</v>
      </c>
    </row>
    <row r="4" spans="1:14" ht="25.05" customHeight="1">
      <c r="A4" s="2" t="s">
        <v>70</v>
      </c>
      <c r="B4" s="6">
        <v>4</v>
      </c>
      <c r="C4" s="6">
        <v>0</v>
      </c>
      <c r="D4" s="6">
        <v>0</v>
      </c>
      <c r="E4" s="6">
        <v>4</v>
      </c>
      <c r="F4" s="6">
        <v>3</v>
      </c>
      <c r="G4" s="6">
        <v>0</v>
      </c>
      <c r="H4" s="2">
        <f>ROUND(B4*Parameters!$B$3+C4*Parameters!$B$4+D4*Parameters!$B$5,6)</f>
        <v>1.6</v>
      </c>
      <c r="I4" s="2">
        <f>INDEX(Parameters!$B$6:$B$12,E4+1)</f>
        <v>3</v>
      </c>
      <c r="J4" s="2">
        <f>MIN(I4,F4*Parameters!$B$13)</f>
        <v>1.5</v>
      </c>
      <c r="K4" s="2">
        <f>ROUND(MAX(0,H4+I4-J4),6)</f>
        <v>3.1</v>
      </c>
      <c r="L4" s="2">
        <f>Parameters!$B$14+G4</f>
        <v>4</v>
      </c>
      <c r="M4" s="2">
        <f>ROUND(MAX(0,K4-L4),6)</f>
        <v>0</v>
      </c>
      <c r="N4" s="2">
        <f>ROUND(1/(1+Parameters!$B$15*M4^Parameters!$B$16),6)</f>
        <v>1</v>
      </c>
    </row>
    <row r="5" spans="1:14" ht="25.05" customHeight="1">
      <c r="A5" s="2" t="s">
        <v>71</v>
      </c>
      <c r="B5" s="6">
        <v>6</v>
      </c>
      <c r="C5" s="6">
        <v>0</v>
      </c>
      <c r="D5" s="6">
        <v>0</v>
      </c>
      <c r="E5" s="6">
        <v>6</v>
      </c>
      <c r="F5" s="6">
        <v>5</v>
      </c>
      <c r="G5" s="6">
        <v>0</v>
      </c>
      <c r="H5" s="2">
        <f>ROUND(B5*Parameters!$B$3+C5*Parameters!$B$4+D5*Parameters!$B$5,6)</f>
        <v>2.4</v>
      </c>
      <c r="I5" s="2">
        <f>INDEX(Parameters!$B$6:$B$12,E5+1)</f>
        <v>10</v>
      </c>
      <c r="J5" s="2">
        <f>MIN(I5,F5*Parameters!$B$13)</f>
        <v>2.5</v>
      </c>
      <c r="K5" s="2">
        <f>ROUND(MAX(0,H5+I5-J5),6)</f>
        <v>9.9</v>
      </c>
      <c r="L5" s="2">
        <f>Parameters!$B$14+G5</f>
        <v>4</v>
      </c>
      <c r="M5" s="2">
        <f>ROUND(MAX(0,K5-L5),6)</f>
        <v>5.9</v>
      </c>
      <c r="N5" s="2">
        <f>ROUND(1/(1+Parameters!$B$15*M5^Parameters!$B$16),6)</f>
        <v>0.279362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3.8"/>
  <cols>
    <col min="1" max="2" width="18" customWidth="1"/>
    <col min="3" max="6" width="16" customWidth="1"/>
    <col min="7" max="7" width="18" customWidth="1"/>
  </cols>
  <sheetData>
    <row r="1" spans="1:7" ht="36" customHeight="1">
      <c r="A1" s="3" t="s">
        <v>72</v>
      </c>
      <c r="B1" s="3" t="s">
        <v>73</v>
      </c>
      <c r="C1" s="3" t="s">
        <v>74</v>
      </c>
      <c r="D1" s="3" t="s">
        <v>75</v>
      </c>
      <c r="E1" s="3" t="s">
        <v>76</v>
      </c>
      <c r="F1" s="3" t="s">
        <v>77</v>
      </c>
      <c r="G1" s="3" t="s">
        <v>78</v>
      </c>
    </row>
    <row r="2" spans="1:7" ht="25.05" customHeight="1">
      <c r="A2" s="2" t="s">
        <v>79</v>
      </c>
      <c r="B2" s="6">
        <v>85</v>
      </c>
      <c r="C2" s="6">
        <v>0</v>
      </c>
      <c r="D2" s="6">
        <v>0</v>
      </c>
      <c r="E2" s="2">
        <f>Scenarios!I2</f>
        <v>10</v>
      </c>
      <c r="F2" s="2">
        <f>Scenarios!J2</f>
        <v>22</v>
      </c>
      <c r="G2" s="2">
        <f t="shared" ref="G2:G13" si="0">IF(COUNT(B2:F2)&lt;5,"Missing input",IF(F2&lt;=0,"Invalid k",ROUND(MIN(140,MAX(E2,E2+(MAX(E2,B2+MAX(0,C2))-E2)*EXP(-MAX(0,D2)/F2))),3)))</f>
        <v>85</v>
      </c>
    </row>
    <row r="3" spans="1:7" ht="25.05" customHeight="1">
      <c r="A3" s="2" t="s">
        <v>80</v>
      </c>
      <c r="B3" s="6">
        <v>85</v>
      </c>
      <c r="C3" s="6">
        <v>0</v>
      </c>
      <c r="D3" s="6">
        <v>10</v>
      </c>
      <c r="E3" s="2">
        <f>Scenarios!I2</f>
        <v>10</v>
      </c>
      <c r="F3" s="2">
        <f>Scenarios!J2</f>
        <v>22</v>
      </c>
      <c r="G3" s="2">
        <f t="shared" si="0"/>
        <v>57.604999999999997</v>
      </c>
    </row>
    <row r="4" spans="1:7" ht="25.05" customHeight="1">
      <c r="A4" s="2" t="s">
        <v>81</v>
      </c>
      <c r="B4" s="6">
        <v>85</v>
      </c>
      <c r="C4" s="6">
        <v>0</v>
      </c>
      <c r="D4" s="6">
        <v>10000</v>
      </c>
      <c r="E4" s="2">
        <f>Scenarios!I2</f>
        <v>10</v>
      </c>
      <c r="F4" s="2">
        <f>Scenarios!J2</f>
        <v>22</v>
      </c>
      <c r="G4" s="2">
        <f t="shared" si="0"/>
        <v>10</v>
      </c>
    </row>
    <row r="5" spans="1:7" ht="25.05" customHeight="1">
      <c r="A5" s="2" t="s">
        <v>82</v>
      </c>
      <c r="B5" s="6">
        <v>90</v>
      </c>
      <c r="C5" s="6">
        <v>0</v>
      </c>
      <c r="D5" s="6">
        <v>0</v>
      </c>
      <c r="E5" s="2">
        <f>Scenarios!I3</f>
        <v>15</v>
      </c>
      <c r="F5" s="2">
        <f>Scenarios!J3</f>
        <v>27</v>
      </c>
      <c r="G5" s="2">
        <f t="shared" si="0"/>
        <v>90</v>
      </c>
    </row>
    <row r="6" spans="1:7" ht="25.05" customHeight="1">
      <c r="A6" s="2" t="s">
        <v>83</v>
      </c>
      <c r="B6" s="6">
        <v>90</v>
      </c>
      <c r="C6" s="6">
        <v>0</v>
      </c>
      <c r="D6" s="6">
        <v>10</v>
      </c>
      <c r="E6" s="2">
        <f>Scenarios!I3</f>
        <v>15</v>
      </c>
      <c r="F6" s="2">
        <f>Scenarios!J3</f>
        <v>27</v>
      </c>
      <c r="G6" s="2">
        <f t="shared" si="0"/>
        <v>66.786000000000001</v>
      </c>
    </row>
    <row r="7" spans="1:7" ht="25.05" customHeight="1">
      <c r="A7" s="2" t="s">
        <v>84</v>
      </c>
      <c r="B7" s="6">
        <v>90</v>
      </c>
      <c r="C7" s="6">
        <v>0</v>
      </c>
      <c r="D7" s="6">
        <v>10000</v>
      </c>
      <c r="E7" s="2">
        <f>Scenarios!I3</f>
        <v>15</v>
      </c>
      <c r="F7" s="2">
        <f>Scenarios!J3</f>
        <v>27</v>
      </c>
      <c r="G7" s="2">
        <f t="shared" si="0"/>
        <v>15</v>
      </c>
    </row>
    <row r="8" spans="1:7" ht="25.05" customHeight="1">
      <c r="A8" s="2" t="s">
        <v>85</v>
      </c>
      <c r="B8" s="6">
        <v>35</v>
      </c>
      <c r="C8" s="6">
        <v>0</v>
      </c>
      <c r="D8" s="6">
        <v>0</v>
      </c>
      <c r="E8" s="2">
        <f>Scenarios!I4</f>
        <v>5</v>
      </c>
      <c r="F8" s="2">
        <f>Scenarios!J4</f>
        <v>8</v>
      </c>
      <c r="G8" s="2">
        <f t="shared" si="0"/>
        <v>35</v>
      </c>
    </row>
    <row r="9" spans="1:7" ht="25.05" customHeight="1">
      <c r="A9" s="2" t="s">
        <v>86</v>
      </c>
      <c r="B9" s="6">
        <v>35</v>
      </c>
      <c r="C9" s="6">
        <v>0</v>
      </c>
      <c r="D9" s="6">
        <v>10</v>
      </c>
      <c r="E9" s="2">
        <f>Scenarios!I4</f>
        <v>5</v>
      </c>
      <c r="F9" s="2">
        <f>Scenarios!J4</f>
        <v>8</v>
      </c>
      <c r="G9" s="2">
        <f t="shared" si="0"/>
        <v>13.595000000000001</v>
      </c>
    </row>
    <row r="10" spans="1:7" ht="25.05" customHeight="1">
      <c r="A10" s="2" t="s">
        <v>87</v>
      </c>
      <c r="B10" s="6">
        <v>35</v>
      </c>
      <c r="C10" s="6">
        <v>0</v>
      </c>
      <c r="D10" s="6">
        <v>10000</v>
      </c>
      <c r="E10" s="2">
        <f>Scenarios!I4</f>
        <v>5</v>
      </c>
      <c r="F10" s="2">
        <f>Scenarios!J4</f>
        <v>8</v>
      </c>
      <c r="G10" s="2">
        <f t="shared" si="0"/>
        <v>5</v>
      </c>
    </row>
    <row r="11" spans="1:7" ht="25.05" customHeight="1">
      <c r="A11" s="2" t="s">
        <v>88</v>
      </c>
      <c r="B11" s="6">
        <v>40</v>
      </c>
      <c r="C11" s="6">
        <v>0</v>
      </c>
      <c r="D11" s="6">
        <v>0</v>
      </c>
      <c r="E11" s="2">
        <f>Scenarios!I5</f>
        <v>8</v>
      </c>
      <c r="F11" s="2">
        <f>Scenarios!J5</f>
        <v>11</v>
      </c>
      <c r="G11" s="2">
        <f t="shared" si="0"/>
        <v>40</v>
      </c>
    </row>
    <row r="12" spans="1:7" ht="25.05" customHeight="1">
      <c r="A12" s="2" t="s">
        <v>89</v>
      </c>
      <c r="B12" s="6">
        <v>40</v>
      </c>
      <c r="C12" s="6">
        <v>0</v>
      </c>
      <c r="D12" s="6">
        <v>10</v>
      </c>
      <c r="E12" s="2">
        <f>Scenarios!I5</f>
        <v>8</v>
      </c>
      <c r="F12" s="2">
        <f>Scenarios!J5</f>
        <v>11</v>
      </c>
      <c r="G12" s="2">
        <f t="shared" si="0"/>
        <v>20.891999999999999</v>
      </c>
    </row>
    <row r="13" spans="1:7" ht="25.05" customHeight="1">
      <c r="A13" s="2" t="s">
        <v>90</v>
      </c>
      <c r="B13" s="6">
        <v>40</v>
      </c>
      <c r="C13" s="6">
        <v>0</v>
      </c>
      <c r="D13" s="6">
        <v>10000</v>
      </c>
      <c r="E13" s="2">
        <f>Scenarios!I5</f>
        <v>8</v>
      </c>
      <c r="F13" s="2">
        <f>Scenarios!J5</f>
        <v>11</v>
      </c>
      <c r="G13" s="2">
        <f t="shared" si="0"/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3.8"/>
  <cols>
    <col min="1" max="1" width="27" customWidth="1"/>
    <col min="2" max="2" width="18" customWidth="1"/>
    <col min="3" max="3" width="20" customWidth="1"/>
    <col min="4" max="4" width="27" customWidth="1"/>
  </cols>
  <sheetData>
    <row r="1" spans="1:4" ht="36" customHeight="1">
      <c r="A1" s="3" t="s">
        <v>91</v>
      </c>
      <c r="B1" s="3" t="s">
        <v>92</v>
      </c>
      <c r="C1" s="3" t="s">
        <v>93</v>
      </c>
      <c r="D1" s="3" t="s">
        <v>94</v>
      </c>
    </row>
    <row r="2" spans="1:4" ht="25.05" customHeight="1">
      <c r="A2" s="2" t="s">
        <v>95</v>
      </c>
      <c r="B2" s="2">
        <v>11</v>
      </c>
      <c r="C2" s="2">
        <v>86</v>
      </c>
      <c r="D2" s="2">
        <f>B2*C2</f>
        <v>946</v>
      </c>
    </row>
    <row r="3" spans="1:4" ht="25.05" customHeight="1">
      <c r="A3" s="2" t="s">
        <v>96</v>
      </c>
      <c r="B3" s="2">
        <v>9</v>
      </c>
      <c r="C3" s="2">
        <v>82</v>
      </c>
      <c r="D3" s="2">
        <f>B3*C3</f>
        <v>738</v>
      </c>
    </row>
    <row r="4" spans="1:4" ht="25.05" customHeight="1">
      <c r="A4" s="2" t="s">
        <v>97</v>
      </c>
      <c r="B4" s="2">
        <v>7</v>
      </c>
      <c r="C4" s="2">
        <v>84</v>
      </c>
      <c r="D4" s="2">
        <f>B4*C4</f>
        <v>588</v>
      </c>
    </row>
    <row r="6" spans="1:4" ht="25.05" customHeight="1">
      <c r="A6" s="1" t="s">
        <v>98</v>
      </c>
      <c r="B6" s="1">
        <f>SUM(B2:B4)</f>
        <v>27</v>
      </c>
      <c r="C6" s="1"/>
      <c r="D6" s="1"/>
    </row>
    <row r="7" spans="1:4" ht="25.05" customHeight="1">
      <c r="A7" s="1" t="s">
        <v>99</v>
      </c>
      <c r="B7" s="1">
        <f>IF(B6=0,AVERAGE(C2:C4),SUM(D2:D4)/B6)</f>
        <v>84.148148148148152</v>
      </c>
      <c r="C7" s="1"/>
      <c r="D7" s="1"/>
    </row>
    <row r="8" spans="1:4" ht="25.05" customHeight="1">
      <c r="A8" s="1" t="s">
        <v>100</v>
      </c>
      <c r="B8" s="1">
        <f>MIN(C2:C4)</f>
        <v>82</v>
      </c>
      <c r="C8" s="1"/>
      <c r="D8" s="1"/>
    </row>
    <row r="9" spans="1:4" ht="25.05" customHeight="1">
      <c r="A9" s="1" t="s">
        <v>101</v>
      </c>
      <c r="B9" s="1">
        <f>ROUND(B7*Parameters!$B$34+B8*Parameters!$B$35,3)</f>
        <v>83.504000000000005</v>
      </c>
      <c r="C9" s="1"/>
      <c r="D9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3.8"/>
  <cols>
    <col min="1" max="1" width="29" customWidth="1"/>
    <col min="2" max="4" width="16" customWidth="1"/>
    <col min="5" max="5" width="18" customWidth="1"/>
    <col min="6" max="6" width="61" customWidth="1"/>
  </cols>
  <sheetData>
    <row r="1" spans="1:6" ht="36" customHeight="1">
      <c r="A1" s="3" t="s">
        <v>102</v>
      </c>
      <c r="B1" s="3" t="s">
        <v>103</v>
      </c>
      <c r="C1" s="3" t="s">
        <v>104</v>
      </c>
      <c r="D1" s="3" t="s">
        <v>105</v>
      </c>
      <c r="E1" s="3" t="s">
        <v>106</v>
      </c>
      <c r="F1" s="3" t="s">
        <v>107</v>
      </c>
    </row>
    <row r="2" spans="1:6" ht="25.05" customHeight="1">
      <c r="A2" s="2" t="s">
        <v>108</v>
      </c>
      <c r="B2" s="2">
        <v>1</v>
      </c>
      <c r="C2" s="2">
        <v>1</v>
      </c>
      <c r="D2" s="2">
        <v>0</v>
      </c>
      <c r="E2" s="7">
        <f>B2*C2/4</f>
        <v>0.25</v>
      </c>
      <c r="F2" s="2" t="s">
        <v>109</v>
      </c>
    </row>
    <row r="3" spans="1:6" ht="25.05" customHeight="1">
      <c r="A3" s="2" t="s">
        <v>110</v>
      </c>
      <c r="B3" s="2">
        <v>1</v>
      </c>
      <c r="C3" s="2">
        <v>2</v>
      </c>
      <c r="D3" s="2">
        <v>0</v>
      </c>
      <c r="E3" s="7">
        <f>B3*C3/4</f>
        <v>0.5</v>
      </c>
      <c r="F3" s="2" t="s">
        <v>109</v>
      </c>
    </row>
    <row r="4" spans="1:6" ht="25.05" customHeight="1">
      <c r="A4" s="2" t="s">
        <v>111</v>
      </c>
      <c r="B4" s="2">
        <v>2</v>
      </c>
      <c r="C4" s="2">
        <v>2</v>
      </c>
      <c r="D4" s="2">
        <v>0</v>
      </c>
      <c r="E4" s="7">
        <f>B4*C4/4</f>
        <v>1</v>
      </c>
      <c r="F4" s="2" t="s">
        <v>109</v>
      </c>
    </row>
    <row r="5" spans="1:6" ht="25.05" customHeight="1">
      <c r="A5" s="2" t="s">
        <v>112</v>
      </c>
      <c r="B5" s="2">
        <v>1</v>
      </c>
      <c r="C5" s="2">
        <v>1</v>
      </c>
      <c r="D5" s="2">
        <v>0</v>
      </c>
      <c r="E5" s="7">
        <f>MAX(0.5,B5*C5/4)</f>
        <v>0.5</v>
      </c>
      <c r="F5" s="2" t="s">
        <v>113</v>
      </c>
    </row>
    <row r="6" spans="1:6" ht="25.05" customHeight="1">
      <c r="A6" s="2" t="s">
        <v>114</v>
      </c>
      <c r="B6" s="2">
        <v>0</v>
      </c>
      <c r="C6" s="2">
        <v>0</v>
      </c>
      <c r="D6" s="2">
        <v>0</v>
      </c>
      <c r="E6" s="7">
        <f>MIN(Parameters!$B$27,0.15*MAX(0,B6))</f>
        <v>0</v>
      </c>
      <c r="F6" s="2" t="s">
        <v>115</v>
      </c>
    </row>
    <row r="7" spans="1:6" ht="25.05" customHeight="1">
      <c r="A7" s="2" t="s">
        <v>116</v>
      </c>
      <c r="B7" s="2">
        <v>100</v>
      </c>
      <c r="C7" s="2">
        <v>0</v>
      </c>
      <c r="D7" s="2">
        <v>0</v>
      </c>
      <c r="E7" s="7">
        <f>MIN(Parameters!$B$27,0.15*MAX(0,B7))</f>
        <v>8</v>
      </c>
      <c r="F7" s="2" t="s">
        <v>115</v>
      </c>
    </row>
    <row r="8" spans="1:6" ht="25.05" customHeight="1">
      <c r="A8" s="2" t="s">
        <v>117</v>
      </c>
      <c r="B8" s="2">
        <v>100</v>
      </c>
      <c r="C8" s="2">
        <v>0</v>
      </c>
      <c r="D8" s="2">
        <v>0</v>
      </c>
      <c r="E8" s="7">
        <f>MIN(Parameters!$B$28,0.2*MAX(0,B8))</f>
        <v>10</v>
      </c>
      <c r="F8" s="2" t="s">
        <v>118</v>
      </c>
    </row>
    <row r="9" spans="1:6" ht="25.05" customHeight="1">
      <c r="A9" s="2" t="s">
        <v>119</v>
      </c>
      <c r="B9" s="2">
        <v>1</v>
      </c>
      <c r="C9" s="2">
        <v>0</v>
      </c>
      <c r="D9" s="2">
        <v>0</v>
      </c>
      <c r="E9" s="7">
        <f>Parameters!$B$19</f>
        <v>1</v>
      </c>
      <c r="F9" s="2" t="s">
        <v>120</v>
      </c>
    </row>
    <row r="10" spans="1:6" ht="25.05" customHeight="1">
      <c r="A10" s="2" t="s">
        <v>121</v>
      </c>
      <c r="B10" s="2">
        <v>2</v>
      </c>
      <c r="C10" s="2">
        <v>0</v>
      </c>
      <c r="D10" s="2">
        <v>0</v>
      </c>
      <c r="E10" s="7">
        <f>Parameters!$B$20</f>
        <v>1</v>
      </c>
      <c r="F10" s="2" t="s">
        <v>120</v>
      </c>
    </row>
    <row r="11" spans="1:6" ht="25.05" customHeight="1">
      <c r="A11" s="2" t="s">
        <v>122</v>
      </c>
      <c r="B11" s="2">
        <v>3</v>
      </c>
      <c r="C11" s="2">
        <v>0</v>
      </c>
      <c r="D11" s="2">
        <v>0</v>
      </c>
      <c r="E11" s="7">
        <f>Parameters!$B$21</f>
        <v>0.75</v>
      </c>
      <c r="F11" s="2" t="s">
        <v>120</v>
      </c>
    </row>
    <row r="12" spans="1:6" ht="25.05" customHeight="1">
      <c r="A12" s="2" t="s">
        <v>123</v>
      </c>
      <c r="B12" s="2">
        <v>4</v>
      </c>
      <c r="C12" s="2">
        <v>0</v>
      </c>
      <c r="D12" s="2">
        <v>0</v>
      </c>
      <c r="E12" s="7">
        <f>Parameters!$B$22</f>
        <v>0.5</v>
      </c>
      <c r="F12" s="2" t="s">
        <v>120</v>
      </c>
    </row>
    <row r="13" spans="1:6" ht="25.05" customHeight="1">
      <c r="A13" s="2" t="s">
        <v>124</v>
      </c>
      <c r="B13" s="2">
        <v>5</v>
      </c>
      <c r="C13" s="2">
        <v>0</v>
      </c>
      <c r="D13" s="2">
        <v>0</v>
      </c>
      <c r="E13" s="7">
        <f>Parameters!$B$23</f>
        <v>0.25</v>
      </c>
      <c r="F13" s="2" t="s">
        <v>120</v>
      </c>
    </row>
    <row r="14" spans="1:6" ht="25.05" customHeight="1">
      <c r="A14" s="2" t="s">
        <v>125</v>
      </c>
      <c r="B14" s="2">
        <v>6</v>
      </c>
      <c r="C14" s="2">
        <v>0</v>
      </c>
      <c r="D14" s="2">
        <v>0</v>
      </c>
      <c r="E14" s="7">
        <f>Parameters!$B$24</f>
        <v>0.1</v>
      </c>
      <c r="F14" s="2" t="s">
        <v>120</v>
      </c>
    </row>
    <row r="15" spans="1:6" ht="25.05" customHeight="1">
      <c r="A15" s="2" t="s">
        <v>126</v>
      </c>
      <c r="B15" s="2">
        <v>0.35</v>
      </c>
      <c r="C15" s="2">
        <v>0.28999999999999998</v>
      </c>
      <c r="D15" s="2">
        <v>0</v>
      </c>
      <c r="E15" s="7">
        <f>IF(AND(B15&gt;'Category mix'!C2,C15&lt;'Category mix'!E2),1,0)</f>
        <v>0</v>
      </c>
      <c r="F15" s="2" t="s">
        <v>127</v>
      </c>
    </row>
    <row r="16" spans="1:6" ht="25.05" customHeight="1">
      <c r="A16" s="2" t="s">
        <v>128</v>
      </c>
      <c r="B16" s="2">
        <v>0.35000100000000001</v>
      </c>
      <c r="C16" s="2">
        <v>0.28999999999999998</v>
      </c>
      <c r="D16" s="2">
        <v>0</v>
      </c>
      <c r="E16" s="7">
        <f>IF(AND(B16&gt;'Category mix'!C2,C16&lt;'Category mix'!E2),1,0)</f>
        <v>1</v>
      </c>
      <c r="F16" s="2" t="s">
        <v>129</v>
      </c>
    </row>
    <row r="17" spans="1:6" ht="25.05" customHeight="1">
      <c r="A17" s="2" t="s">
        <v>130</v>
      </c>
      <c r="B17" s="2">
        <v>0.36</v>
      </c>
      <c r="C17" s="2">
        <v>0.3</v>
      </c>
      <c r="D17" s="2">
        <v>0</v>
      </c>
      <c r="E17" s="7">
        <f>IF(AND(B17&gt;'Category mix'!C2,C17&lt;'Category mix'!E2),1,0)</f>
        <v>0</v>
      </c>
      <c r="F17" s="2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3.8"/>
  <cols>
    <col min="1" max="1" width="10" customWidth="1"/>
    <col min="2" max="2" width="29" customWidth="1"/>
    <col min="3" max="3" width="13" customWidth="1"/>
    <col min="4" max="4" width="17" customWidth="1"/>
    <col min="5" max="5" width="15" customWidth="1"/>
    <col min="6" max="10" width="13" customWidth="1"/>
  </cols>
  <sheetData>
    <row r="1" spans="1:10" ht="36" customHeight="1">
      <c r="A1" s="3" t="s">
        <v>132</v>
      </c>
      <c r="B1" s="3" t="s">
        <v>42</v>
      </c>
      <c r="C1" s="3" t="s">
        <v>133</v>
      </c>
      <c r="D1" s="3" t="s">
        <v>134</v>
      </c>
      <c r="E1" s="3" t="s">
        <v>135</v>
      </c>
      <c r="F1" s="3" t="s">
        <v>136</v>
      </c>
      <c r="G1" s="3" t="s">
        <v>137</v>
      </c>
      <c r="H1" s="3" t="s">
        <v>138</v>
      </c>
      <c r="I1" s="3" t="s">
        <v>139</v>
      </c>
      <c r="J1" s="3" t="s">
        <v>140</v>
      </c>
    </row>
    <row r="2" spans="1:10" ht="25.05" customHeight="1">
      <c r="A2" s="2" t="s">
        <v>50</v>
      </c>
      <c r="B2" s="2" t="s">
        <v>141</v>
      </c>
      <c r="C2" s="2">
        <v>85</v>
      </c>
      <c r="D2" s="2">
        <v>55</v>
      </c>
      <c r="E2" s="2">
        <v>100</v>
      </c>
      <c r="F2" s="2">
        <v>44</v>
      </c>
      <c r="G2" s="2">
        <v>33</v>
      </c>
      <c r="H2" s="2">
        <v>23</v>
      </c>
      <c r="I2" s="2">
        <v>10</v>
      </c>
      <c r="J2" s="2">
        <v>22</v>
      </c>
    </row>
    <row r="3" spans="1:10" ht="25.05" customHeight="1">
      <c r="A3" s="2" t="s">
        <v>51</v>
      </c>
      <c r="B3" s="2" t="s">
        <v>142</v>
      </c>
      <c r="C3" s="2">
        <v>90</v>
      </c>
      <c r="D3" s="2">
        <v>30</v>
      </c>
      <c r="E3" s="2">
        <v>70</v>
      </c>
      <c r="F3" s="2">
        <v>32</v>
      </c>
      <c r="G3" s="2">
        <v>23</v>
      </c>
      <c r="H3" s="2">
        <v>15</v>
      </c>
      <c r="I3" s="2">
        <v>15</v>
      </c>
      <c r="J3" s="2">
        <v>27</v>
      </c>
    </row>
    <row r="4" spans="1:10" ht="25.05" customHeight="1">
      <c r="A4" s="2" t="s">
        <v>52</v>
      </c>
      <c r="B4" s="2" t="s">
        <v>143</v>
      </c>
      <c r="C4" s="2">
        <v>35</v>
      </c>
      <c r="D4" s="2">
        <v>75</v>
      </c>
      <c r="E4" s="2">
        <v>100</v>
      </c>
      <c r="F4" s="2">
        <v>40</v>
      </c>
      <c r="G4" s="2">
        <v>35</v>
      </c>
      <c r="H4" s="2">
        <v>25</v>
      </c>
      <c r="I4" s="2">
        <v>5</v>
      </c>
      <c r="J4" s="2">
        <v>8</v>
      </c>
    </row>
    <row r="5" spans="1:10" ht="25.05" customHeight="1">
      <c r="A5" s="2" t="s">
        <v>53</v>
      </c>
      <c r="B5" s="2" t="s">
        <v>144</v>
      </c>
      <c r="C5" s="2">
        <v>40</v>
      </c>
      <c r="D5" s="2">
        <v>35</v>
      </c>
      <c r="E5" s="2">
        <v>70</v>
      </c>
      <c r="F5" s="2">
        <v>33</v>
      </c>
      <c r="G5" s="2">
        <v>22</v>
      </c>
      <c r="H5" s="2">
        <v>15</v>
      </c>
      <c r="I5" s="2">
        <v>8</v>
      </c>
      <c r="J5" s="2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3.8"/>
  <cols>
    <col min="1" max="1" width="14" customWidth="1"/>
    <col min="2" max="2" width="24" customWidth="1"/>
    <col min="3" max="3" width="22" customWidth="1"/>
  </cols>
  <sheetData>
    <row r="1" spans="1:3" ht="36" customHeight="1">
      <c r="A1" s="3" t="s">
        <v>42</v>
      </c>
      <c r="B1" s="3" t="s">
        <v>145</v>
      </c>
      <c r="C1" s="3" t="s">
        <v>146</v>
      </c>
    </row>
    <row r="2" spans="1:3" ht="25.05" customHeight="1">
      <c r="A2" s="2" t="s">
        <v>50</v>
      </c>
      <c r="B2" s="2" t="s">
        <v>147</v>
      </c>
      <c r="C2" s="2">
        <v>1.05</v>
      </c>
    </row>
    <row r="3" spans="1:3" ht="25.05" customHeight="1">
      <c r="A3" s="2" t="s">
        <v>50</v>
      </c>
      <c r="B3" s="2" t="s">
        <v>148</v>
      </c>
      <c r="C3" s="2">
        <v>1.54</v>
      </c>
    </row>
    <row r="4" spans="1:3" ht="25.05" customHeight="1">
      <c r="A4" s="2" t="s">
        <v>50</v>
      </c>
      <c r="B4" s="2" t="s">
        <v>149</v>
      </c>
      <c r="C4" s="2">
        <v>1.47</v>
      </c>
    </row>
    <row r="5" spans="1:3" ht="25.05" customHeight="1">
      <c r="A5" s="2" t="s">
        <v>50</v>
      </c>
      <c r="B5" s="2" t="s">
        <v>150</v>
      </c>
      <c r="C5" s="2">
        <v>1</v>
      </c>
    </row>
    <row r="6" spans="1:3" ht="25.05" customHeight="1">
      <c r="A6" s="2" t="s">
        <v>50</v>
      </c>
      <c r="B6" s="2" t="s">
        <v>151</v>
      </c>
      <c r="C6" s="2">
        <v>0.95</v>
      </c>
    </row>
    <row r="7" spans="1:3" ht="25.05" customHeight="1">
      <c r="A7" s="2" t="s">
        <v>50</v>
      </c>
      <c r="B7" s="2" t="s">
        <v>152</v>
      </c>
      <c r="C7" s="2">
        <v>0.95</v>
      </c>
    </row>
    <row r="8" spans="1:3" ht="25.05" customHeight="1">
      <c r="A8" s="2" t="s">
        <v>51</v>
      </c>
      <c r="B8" s="2" t="s">
        <v>147</v>
      </c>
      <c r="C8" s="2">
        <v>0.85</v>
      </c>
    </row>
    <row r="9" spans="1:3" ht="25.05" customHeight="1">
      <c r="A9" s="2" t="s">
        <v>51</v>
      </c>
      <c r="B9" s="2" t="s">
        <v>148</v>
      </c>
      <c r="C9" s="2">
        <v>1.76</v>
      </c>
    </row>
    <row r="10" spans="1:3" ht="25.05" customHeight="1">
      <c r="A10" s="2" t="s">
        <v>51</v>
      </c>
      <c r="B10" s="2" t="s">
        <v>149</v>
      </c>
      <c r="C10" s="2">
        <v>1.84</v>
      </c>
    </row>
    <row r="11" spans="1:3" ht="25.05" customHeight="1">
      <c r="A11" s="2" t="s">
        <v>51</v>
      </c>
      <c r="B11" s="2" t="s">
        <v>150</v>
      </c>
      <c r="C11" s="2">
        <v>1.05</v>
      </c>
    </row>
    <row r="12" spans="1:3" ht="25.05" customHeight="1">
      <c r="A12" s="2" t="s">
        <v>51</v>
      </c>
      <c r="B12" s="2" t="s">
        <v>151</v>
      </c>
      <c r="C12" s="2">
        <v>1.76</v>
      </c>
    </row>
    <row r="13" spans="1:3" ht="25.05" customHeight="1">
      <c r="A13" s="2" t="s">
        <v>51</v>
      </c>
      <c r="B13" s="2" t="s">
        <v>152</v>
      </c>
      <c r="C13" s="2">
        <v>1</v>
      </c>
    </row>
    <row r="14" spans="1:3" ht="25.05" customHeight="1">
      <c r="A14" s="2" t="s">
        <v>52</v>
      </c>
      <c r="B14" s="2" t="s">
        <v>147</v>
      </c>
      <c r="C14" s="2">
        <v>0.95</v>
      </c>
    </row>
    <row r="15" spans="1:3" ht="25.05" customHeight="1">
      <c r="A15" s="2" t="s">
        <v>52</v>
      </c>
      <c r="B15" s="2" t="s">
        <v>148</v>
      </c>
      <c r="C15" s="2">
        <v>0.95</v>
      </c>
    </row>
    <row r="16" spans="1:3" ht="25.05" customHeight="1">
      <c r="A16" s="2" t="s">
        <v>52</v>
      </c>
      <c r="B16" s="2" t="s">
        <v>149</v>
      </c>
      <c r="C16" s="2">
        <v>1.595</v>
      </c>
    </row>
    <row r="17" spans="1:3" ht="25.05" customHeight="1">
      <c r="A17" s="2" t="s">
        <v>52</v>
      </c>
      <c r="B17" s="2" t="s">
        <v>150</v>
      </c>
      <c r="C17" s="2">
        <v>1.6675</v>
      </c>
    </row>
    <row r="18" spans="1:3" ht="25.05" customHeight="1">
      <c r="A18" s="2" t="s">
        <v>52</v>
      </c>
      <c r="B18" s="2" t="s">
        <v>151</v>
      </c>
      <c r="C18" s="2">
        <v>1</v>
      </c>
    </row>
    <row r="19" spans="1:3" ht="25.05" customHeight="1">
      <c r="A19" s="2" t="s">
        <v>52</v>
      </c>
      <c r="B19" s="2" t="s">
        <v>152</v>
      </c>
      <c r="C19" s="2">
        <v>0.85</v>
      </c>
    </row>
    <row r="20" spans="1:3" ht="25.05" customHeight="1">
      <c r="A20" s="2" t="s">
        <v>53</v>
      </c>
      <c r="B20" s="2" t="s">
        <v>147</v>
      </c>
      <c r="C20" s="2">
        <v>0.85</v>
      </c>
    </row>
    <row r="21" spans="1:3" ht="25.05" customHeight="1">
      <c r="A21" s="2" t="s">
        <v>53</v>
      </c>
      <c r="B21" s="2" t="s">
        <v>148</v>
      </c>
      <c r="C21" s="2">
        <v>1.7</v>
      </c>
    </row>
    <row r="22" spans="1:3" ht="25.05" customHeight="1">
      <c r="A22" s="2" t="s">
        <v>53</v>
      </c>
      <c r="B22" s="2" t="s">
        <v>149</v>
      </c>
      <c r="C22" s="2">
        <v>1.9550000000000001</v>
      </c>
    </row>
    <row r="23" spans="1:3" ht="25.05" customHeight="1">
      <c r="A23" s="2" t="s">
        <v>53</v>
      </c>
      <c r="B23" s="2" t="s">
        <v>150</v>
      </c>
      <c r="C23" s="2">
        <v>1.87</v>
      </c>
    </row>
    <row r="24" spans="1:3" ht="25.05" customHeight="1">
      <c r="A24" s="2" t="s">
        <v>53</v>
      </c>
      <c r="B24" s="2" t="s">
        <v>151</v>
      </c>
      <c r="C24" s="2">
        <v>1.7849999999999999</v>
      </c>
    </row>
    <row r="25" spans="1:3" ht="25.05" customHeight="1">
      <c r="A25" s="2" t="s">
        <v>53</v>
      </c>
      <c r="B25" s="2" t="s">
        <v>152</v>
      </c>
      <c r="C25" s="2">
        <v>0.95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3.8"/>
  <cols>
    <col min="1" max="2" width="15" customWidth="1"/>
    <col min="3" max="3" width="16" customWidth="1"/>
    <col min="4" max="4" width="29" customWidth="1"/>
    <col min="5" max="6" width="18" customWidth="1"/>
  </cols>
  <sheetData>
    <row r="1" spans="1:6" ht="36" customHeight="1">
      <c r="A1" s="3" t="s">
        <v>42</v>
      </c>
      <c r="B1" s="3" t="s">
        <v>153</v>
      </c>
      <c r="C1" s="3" t="s">
        <v>154</v>
      </c>
      <c r="D1" s="3" t="s">
        <v>155</v>
      </c>
      <c r="E1" s="3" t="s">
        <v>93</v>
      </c>
      <c r="F1" s="3" t="s">
        <v>156</v>
      </c>
    </row>
    <row r="2" spans="1:6" ht="25.05" customHeight="1">
      <c r="A2" s="2" t="s">
        <v>50</v>
      </c>
      <c r="B2" s="2">
        <v>40</v>
      </c>
      <c r="C2" s="2">
        <v>30</v>
      </c>
      <c r="D2" s="2">
        <v>15</v>
      </c>
      <c r="E2" s="2">
        <v>10</v>
      </c>
      <c r="F2" s="2">
        <v>5</v>
      </c>
    </row>
    <row r="3" spans="1:6" ht="25.05" customHeight="1">
      <c r="A3" s="2" t="s">
        <v>51</v>
      </c>
      <c r="B3" s="2">
        <v>30</v>
      </c>
      <c r="C3" s="2">
        <v>35</v>
      </c>
      <c r="D3" s="2">
        <v>20</v>
      </c>
      <c r="E3" s="2">
        <v>10</v>
      </c>
      <c r="F3" s="2">
        <v>5</v>
      </c>
    </row>
    <row r="4" spans="1:6" ht="25.05" customHeight="1">
      <c r="A4" s="2" t="s">
        <v>52</v>
      </c>
      <c r="B4" s="2">
        <v>15</v>
      </c>
      <c r="C4" s="2">
        <v>25</v>
      </c>
      <c r="D4" s="2">
        <v>25</v>
      </c>
      <c r="E4" s="2">
        <v>15</v>
      </c>
      <c r="F4" s="2">
        <v>20</v>
      </c>
    </row>
    <row r="5" spans="1:6" ht="25.05" customHeight="1">
      <c r="A5" s="2" t="s">
        <v>53</v>
      </c>
      <c r="B5" s="2">
        <v>15</v>
      </c>
      <c r="C5" s="2">
        <v>40</v>
      </c>
      <c r="D5" s="2">
        <v>25</v>
      </c>
      <c r="E5" s="2">
        <v>10</v>
      </c>
      <c r="F5" s="2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3.8"/>
  <cols>
    <col min="1" max="1" width="14" customWidth="1"/>
    <col min="2" max="2" width="66" customWidth="1"/>
    <col min="3" max="3" width="22" customWidth="1"/>
    <col min="4" max="4" width="10" customWidth="1"/>
    <col min="5" max="5" width="15" customWidth="1"/>
    <col min="6" max="6" width="17" customWidth="1"/>
    <col min="7" max="7" width="18" customWidth="1"/>
    <col min="8" max="8" width="17" customWidth="1"/>
  </cols>
  <sheetData>
    <row r="1" spans="1:8" ht="15" customHeight="1">
      <c r="A1" s="3" t="s">
        <v>157</v>
      </c>
      <c r="B1" s="3" t="s">
        <v>158</v>
      </c>
      <c r="C1" s="3" t="s">
        <v>145</v>
      </c>
      <c r="D1" s="3" t="s">
        <v>159</v>
      </c>
      <c r="E1" s="3" t="s">
        <v>92</v>
      </c>
      <c r="F1" s="3" t="s">
        <v>160</v>
      </c>
      <c r="G1" s="3" t="s">
        <v>161</v>
      </c>
      <c r="H1" s="3" t="s">
        <v>93</v>
      </c>
    </row>
    <row r="2" spans="1:8" ht="15" customHeight="1">
      <c r="A2" s="2" t="s">
        <v>95</v>
      </c>
      <c r="B2" s="4" t="s">
        <v>162</v>
      </c>
      <c r="C2" s="2" t="s">
        <v>147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 ht="15" customHeight="1">
      <c r="A3" s="2" t="s">
        <v>95</v>
      </c>
      <c r="B3" s="4" t="s">
        <v>162</v>
      </c>
      <c r="C3" s="2" t="s">
        <v>147</v>
      </c>
      <c r="D3" s="2">
        <v>1</v>
      </c>
      <c r="E3" s="2">
        <v>11</v>
      </c>
      <c r="F3" s="2">
        <v>5</v>
      </c>
      <c r="G3" s="2">
        <v>6</v>
      </c>
      <c r="H3" s="2">
        <v>86</v>
      </c>
    </row>
    <row r="4" spans="1:8" ht="15" customHeight="1">
      <c r="A4" s="2" t="s">
        <v>95</v>
      </c>
      <c r="B4" s="4" t="s">
        <v>162</v>
      </c>
      <c r="C4" s="2" t="s">
        <v>147</v>
      </c>
      <c r="D4" s="2">
        <v>2</v>
      </c>
      <c r="E4" s="2">
        <v>23</v>
      </c>
      <c r="F4" s="2">
        <v>10</v>
      </c>
      <c r="G4" s="2">
        <v>11</v>
      </c>
      <c r="H4" s="2">
        <v>90</v>
      </c>
    </row>
    <row r="5" spans="1:8" ht="15" customHeight="1">
      <c r="A5" s="2" t="s">
        <v>96</v>
      </c>
      <c r="B5" s="4" t="s">
        <v>163</v>
      </c>
      <c r="C5" s="2" t="s">
        <v>147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 ht="15" customHeight="1">
      <c r="A6" s="2" t="s">
        <v>96</v>
      </c>
      <c r="B6" s="4" t="s">
        <v>163</v>
      </c>
      <c r="C6" s="2" t="s">
        <v>147</v>
      </c>
      <c r="D6" s="2">
        <v>1</v>
      </c>
      <c r="E6" s="2">
        <v>9</v>
      </c>
      <c r="F6" s="2">
        <v>6</v>
      </c>
      <c r="G6" s="2">
        <v>6</v>
      </c>
      <c r="H6" s="2">
        <v>82</v>
      </c>
    </row>
    <row r="7" spans="1:8" ht="15" customHeight="1">
      <c r="A7" s="2" t="s">
        <v>96</v>
      </c>
      <c r="B7" s="4" t="s">
        <v>163</v>
      </c>
      <c r="C7" s="2" t="s">
        <v>147</v>
      </c>
      <c r="D7" s="2">
        <v>2</v>
      </c>
      <c r="E7" s="2">
        <v>20</v>
      </c>
      <c r="F7" s="2">
        <v>13</v>
      </c>
      <c r="G7" s="2">
        <v>12</v>
      </c>
      <c r="H7" s="2">
        <v>78</v>
      </c>
    </row>
    <row r="8" spans="1:8" ht="15" customHeight="1">
      <c r="A8" s="2" t="s">
        <v>97</v>
      </c>
      <c r="B8" s="4" t="s">
        <v>164</v>
      </c>
      <c r="C8" s="2" t="s">
        <v>147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 ht="15" customHeight="1">
      <c r="A9" s="2" t="s">
        <v>97</v>
      </c>
      <c r="B9" s="4" t="s">
        <v>164</v>
      </c>
      <c r="C9" s="2" t="s">
        <v>147</v>
      </c>
      <c r="D9" s="2">
        <v>1</v>
      </c>
      <c r="E9" s="2">
        <v>7</v>
      </c>
      <c r="F9" s="2">
        <v>7</v>
      </c>
      <c r="G9" s="2">
        <v>7</v>
      </c>
      <c r="H9" s="2">
        <v>84</v>
      </c>
    </row>
    <row r="10" spans="1:8" ht="15" customHeight="1">
      <c r="A10" s="2" t="s">
        <v>97</v>
      </c>
      <c r="B10" s="4" t="s">
        <v>164</v>
      </c>
      <c r="C10" s="2" t="s">
        <v>147</v>
      </c>
      <c r="D10" s="2">
        <v>2</v>
      </c>
      <c r="E10" s="2">
        <v>15</v>
      </c>
      <c r="F10" s="2">
        <v>14</v>
      </c>
      <c r="G10" s="2">
        <v>13</v>
      </c>
      <c r="H10" s="2">
        <v>88</v>
      </c>
    </row>
    <row r="11" spans="1:8" ht="15" customHeight="1">
      <c r="A11" s="2" t="s">
        <v>165</v>
      </c>
      <c r="B11" s="4" t="s">
        <v>166</v>
      </c>
      <c r="C11" s="2" t="s">
        <v>147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 ht="15" customHeight="1">
      <c r="A12" s="2" t="s">
        <v>165</v>
      </c>
      <c r="B12" s="4" t="s">
        <v>166</v>
      </c>
      <c r="C12" s="2" t="s">
        <v>147</v>
      </c>
      <c r="D12" s="2">
        <v>1</v>
      </c>
      <c r="E12" s="2">
        <v>13</v>
      </c>
      <c r="F12" s="2">
        <v>6</v>
      </c>
      <c r="G12" s="2">
        <v>7</v>
      </c>
      <c r="H12" s="2">
        <v>74</v>
      </c>
    </row>
    <row r="13" spans="1:8" ht="15" customHeight="1">
      <c r="A13" s="2" t="s">
        <v>165</v>
      </c>
      <c r="B13" s="4" t="s">
        <v>166</v>
      </c>
      <c r="C13" s="2" t="s">
        <v>147</v>
      </c>
      <c r="D13" s="2">
        <v>2</v>
      </c>
      <c r="E13" s="2">
        <v>29</v>
      </c>
      <c r="F13" s="2">
        <v>12</v>
      </c>
      <c r="G13" s="2">
        <v>15</v>
      </c>
      <c r="H13" s="2">
        <v>76</v>
      </c>
    </row>
    <row r="14" spans="1:8" ht="15" customHeight="1">
      <c r="A14" s="2" t="s">
        <v>167</v>
      </c>
      <c r="B14" s="4" t="s">
        <v>168</v>
      </c>
      <c r="C14" s="2" t="s">
        <v>147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 ht="15" customHeight="1">
      <c r="A15" s="2" t="s">
        <v>167</v>
      </c>
      <c r="B15" s="4" t="s">
        <v>168</v>
      </c>
      <c r="C15" s="2" t="s">
        <v>147</v>
      </c>
      <c r="D15" s="2">
        <v>1</v>
      </c>
      <c r="E15" s="2">
        <v>5</v>
      </c>
      <c r="F15" s="2">
        <v>5</v>
      </c>
      <c r="G15" s="2">
        <v>6</v>
      </c>
      <c r="H15" s="2">
        <v>85</v>
      </c>
    </row>
    <row r="16" spans="1:8" ht="15" customHeight="1">
      <c r="A16" s="2" t="s">
        <v>167</v>
      </c>
      <c r="B16" s="4" t="s">
        <v>168</v>
      </c>
      <c r="C16" s="2" t="s">
        <v>147</v>
      </c>
      <c r="D16" s="2">
        <v>2</v>
      </c>
      <c r="E16" s="2">
        <v>10</v>
      </c>
      <c r="F16" s="2">
        <v>10</v>
      </c>
      <c r="G16" s="2">
        <v>10</v>
      </c>
      <c r="H16" s="2">
        <v>47</v>
      </c>
    </row>
    <row r="17" spans="1:8" ht="15" customHeight="1">
      <c r="A17" s="2" t="s">
        <v>169</v>
      </c>
      <c r="B17" s="4" t="s">
        <v>170</v>
      </c>
      <c r="C17" s="2" t="s">
        <v>147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 ht="15" customHeight="1">
      <c r="A18" s="2" t="s">
        <v>169</v>
      </c>
      <c r="B18" s="4" t="s">
        <v>170</v>
      </c>
      <c r="C18" s="2" t="s">
        <v>147</v>
      </c>
      <c r="D18" s="2">
        <v>1</v>
      </c>
      <c r="E18" s="2">
        <v>15</v>
      </c>
      <c r="F18" s="2">
        <v>1</v>
      </c>
      <c r="G18" s="2">
        <v>-2</v>
      </c>
      <c r="H18" s="2">
        <v>58</v>
      </c>
    </row>
    <row r="19" spans="1:8" ht="15" customHeight="1">
      <c r="A19" s="2" t="s">
        <v>169</v>
      </c>
      <c r="B19" s="4" t="s">
        <v>170</v>
      </c>
      <c r="C19" s="2" t="s">
        <v>147</v>
      </c>
      <c r="D19" s="2">
        <v>2</v>
      </c>
      <c r="E19" s="2">
        <v>35</v>
      </c>
      <c r="F19" s="2">
        <v>4</v>
      </c>
      <c r="G19" s="2">
        <v>-5</v>
      </c>
      <c r="H19" s="2">
        <v>42</v>
      </c>
    </row>
    <row r="20" spans="1:8" ht="15" customHeight="1">
      <c r="A20" s="2" t="s">
        <v>171</v>
      </c>
      <c r="B20" s="4" t="s">
        <v>172</v>
      </c>
      <c r="C20" s="2" t="s">
        <v>148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 ht="15" customHeight="1">
      <c r="A21" s="2" t="s">
        <v>171</v>
      </c>
      <c r="B21" s="4" t="s">
        <v>172</v>
      </c>
      <c r="C21" s="2" t="s">
        <v>148</v>
      </c>
      <c r="D21" s="2">
        <v>1</v>
      </c>
      <c r="E21" s="2">
        <v>7</v>
      </c>
      <c r="F21" s="2">
        <v>7</v>
      </c>
      <c r="G21" s="2">
        <v>6</v>
      </c>
      <c r="H21" s="2">
        <v>80</v>
      </c>
    </row>
    <row r="22" spans="1:8" ht="15" customHeight="1">
      <c r="A22" s="2" t="s">
        <v>171</v>
      </c>
      <c r="B22" s="4" t="s">
        <v>172</v>
      </c>
      <c r="C22" s="2" t="s">
        <v>148</v>
      </c>
      <c r="D22" s="2">
        <v>2</v>
      </c>
      <c r="E22" s="2">
        <v>14</v>
      </c>
      <c r="F22" s="2">
        <v>13</v>
      </c>
      <c r="G22" s="2">
        <v>11</v>
      </c>
      <c r="H22" s="2">
        <v>82</v>
      </c>
    </row>
    <row r="23" spans="1:8" ht="15" customHeight="1">
      <c r="A23" s="2" t="s">
        <v>173</v>
      </c>
      <c r="B23" s="4" t="s">
        <v>174</v>
      </c>
      <c r="C23" s="2" t="s">
        <v>148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 ht="15" customHeight="1">
      <c r="A24" s="2" t="s">
        <v>173</v>
      </c>
      <c r="B24" s="4" t="s">
        <v>174</v>
      </c>
      <c r="C24" s="2" t="s">
        <v>148</v>
      </c>
      <c r="D24" s="2">
        <v>1</v>
      </c>
      <c r="E24" s="2">
        <v>5</v>
      </c>
      <c r="F24" s="2">
        <v>5</v>
      </c>
      <c r="G24" s="2">
        <v>5</v>
      </c>
      <c r="H24" s="2">
        <v>68</v>
      </c>
    </row>
    <row r="25" spans="1:8" ht="15" customHeight="1">
      <c r="A25" s="2" t="s">
        <v>173</v>
      </c>
      <c r="B25" s="4" t="s">
        <v>174</v>
      </c>
      <c r="C25" s="2" t="s">
        <v>148</v>
      </c>
      <c r="D25" s="2">
        <v>2</v>
      </c>
      <c r="E25" s="2">
        <v>8</v>
      </c>
      <c r="F25" s="2">
        <v>7</v>
      </c>
      <c r="G25" s="2">
        <v>8</v>
      </c>
      <c r="H25" s="2">
        <v>63</v>
      </c>
    </row>
    <row r="26" spans="1:8" ht="15" customHeight="1">
      <c r="A26" s="2" t="s">
        <v>175</v>
      </c>
      <c r="B26" s="4" t="s">
        <v>176</v>
      </c>
      <c r="C26" s="2" t="s">
        <v>148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  <row r="27" spans="1:8" ht="15" customHeight="1">
      <c r="A27" s="2" t="s">
        <v>175</v>
      </c>
      <c r="B27" s="4" t="s">
        <v>176</v>
      </c>
      <c r="C27" s="2" t="s">
        <v>148</v>
      </c>
      <c r="D27" s="2">
        <v>1</v>
      </c>
      <c r="E27" s="2">
        <v>7</v>
      </c>
      <c r="F27" s="2">
        <v>4</v>
      </c>
      <c r="G27" s="2">
        <v>5</v>
      </c>
      <c r="H27" s="2">
        <v>70</v>
      </c>
    </row>
    <row r="28" spans="1:8" ht="15" customHeight="1">
      <c r="A28" s="2" t="s">
        <v>175</v>
      </c>
      <c r="B28" s="4" t="s">
        <v>176</v>
      </c>
      <c r="C28" s="2" t="s">
        <v>148</v>
      </c>
      <c r="D28" s="2">
        <v>2</v>
      </c>
      <c r="E28" s="2">
        <v>11</v>
      </c>
      <c r="F28" s="2">
        <v>6</v>
      </c>
      <c r="G28" s="2">
        <v>8</v>
      </c>
      <c r="H28" s="2">
        <v>58</v>
      </c>
    </row>
    <row r="29" spans="1:8" ht="15" customHeight="1">
      <c r="A29" s="2" t="s">
        <v>177</v>
      </c>
      <c r="B29" s="4" t="s">
        <v>178</v>
      </c>
      <c r="C29" s="2" t="s">
        <v>148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</row>
    <row r="30" spans="1:8" ht="15" customHeight="1">
      <c r="A30" s="2" t="s">
        <v>177</v>
      </c>
      <c r="B30" s="4" t="s">
        <v>178</v>
      </c>
      <c r="C30" s="2" t="s">
        <v>148</v>
      </c>
      <c r="D30" s="2">
        <v>1</v>
      </c>
      <c r="E30" s="2">
        <v>8</v>
      </c>
      <c r="F30" s="2">
        <v>5</v>
      </c>
      <c r="G30" s="2">
        <v>7</v>
      </c>
      <c r="H30" s="2">
        <v>76</v>
      </c>
    </row>
    <row r="31" spans="1:8" ht="15" customHeight="1">
      <c r="A31" s="2" t="s">
        <v>177</v>
      </c>
      <c r="B31" s="4" t="s">
        <v>178</v>
      </c>
      <c r="C31" s="2" t="s">
        <v>148</v>
      </c>
      <c r="D31" s="2">
        <v>2</v>
      </c>
      <c r="E31" s="2">
        <v>17</v>
      </c>
      <c r="F31" s="2">
        <v>11</v>
      </c>
      <c r="G31" s="2">
        <v>12</v>
      </c>
      <c r="H31" s="2">
        <v>72</v>
      </c>
    </row>
    <row r="32" spans="1:8" ht="15" customHeight="1">
      <c r="A32" s="2" t="s">
        <v>179</v>
      </c>
      <c r="B32" s="4" t="s">
        <v>180</v>
      </c>
      <c r="C32" s="2" t="s">
        <v>148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</row>
    <row r="33" spans="1:8" ht="15" customHeight="1">
      <c r="A33" s="2" t="s">
        <v>179</v>
      </c>
      <c r="B33" s="4" t="s">
        <v>180</v>
      </c>
      <c r="C33" s="2" t="s">
        <v>148</v>
      </c>
      <c r="D33" s="2">
        <v>1</v>
      </c>
      <c r="E33" s="2">
        <v>4</v>
      </c>
      <c r="F33" s="2">
        <v>5</v>
      </c>
      <c r="G33" s="2">
        <v>6</v>
      </c>
      <c r="H33" s="2">
        <v>70</v>
      </c>
    </row>
    <row r="34" spans="1:8" ht="15" customHeight="1">
      <c r="A34" s="2" t="s">
        <v>179</v>
      </c>
      <c r="B34" s="4" t="s">
        <v>180</v>
      </c>
      <c r="C34" s="2" t="s">
        <v>148</v>
      </c>
      <c r="D34" s="2">
        <v>2</v>
      </c>
      <c r="E34" s="2">
        <v>6</v>
      </c>
      <c r="F34" s="2">
        <v>7</v>
      </c>
      <c r="G34" s="2">
        <v>9</v>
      </c>
      <c r="H34" s="2">
        <v>70</v>
      </c>
    </row>
    <row r="35" spans="1:8" ht="15" customHeight="1">
      <c r="A35" s="2" t="s">
        <v>181</v>
      </c>
      <c r="B35" s="4" t="s">
        <v>182</v>
      </c>
      <c r="C35" s="2" t="s">
        <v>148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</row>
    <row r="36" spans="1:8" ht="15" customHeight="1">
      <c r="A36" s="2" t="s">
        <v>181</v>
      </c>
      <c r="B36" s="4" t="s">
        <v>182</v>
      </c>
      <c r="C36" s="2" t="s">
        <v>148</v>
      </c>
      <c r="D36" s="2">
        <v>1</v>
      </c>
      <c r="E36" s="2">
        <v>9</v>
      </c>
      <c r="F36" s="2">
        <v>6</v>
      </c>
      <c r="G36" s="2">
        <v>-2</v>
      </c>
      <c r="H36" s="2">
        <v>60</v>
      </c>
    </row>
    <row r="37" spans="1:8" ht="15" customHeight="1">
      <c r="A37" s="2" t="s">
        <v>181</v>
      </c>
      <c r="B37" s="4" t="s">
        <v>182</v>
      </c>
      <c r="C37" s="2" t="s">
        <v>148</v>
      </c>
      <c r="D37" s="2">
        <v>2</v>
      </c>
      <c r="E37" s="2">
        <v>20</v>
      </c>
      <c r="F37" s="2">
        <v>9</v>
      </c>
      <c r="G37" s="2">
        <v>-4</v>
      </c>
      <c r="H37" s="2">
        <v>45</v>
      </c>
    </row>
    <row r="38" spans="1:8" ht="15" customHeight="1">
      <c r="A38" s="2" t="s">
        <v>183</v>
      </c>
      <c r="B38" s="4" t="s">
        <v>184</v>
      </c>
      <c r="C38" s="2" t="s">
        <v>149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</row>
    <row r="39" spans="1:8" ht="15" customHeight="1">
      <c r="A39" s="2" t="s">
        <v>183</v>
      </c>
      <c r="B39" s="4" t="s">
        <v>184</v>
      </c>
      <c r="C39" s="2" t="s">
        <v>149</v>
      </c>
      <c r="D39" s="2">
        <v>1</v>
      </c>
      <c r="E39" s="2">
        <v>5</v>
      </c>
      <c r="F39" s="2">
        <v>6</v>
      </c>
      <c r="G39" s="2">
        <v>6</v>
      </c>
      <c r="H39" s="2">
        <v>86</v>
      </c>
    </row>
    <row r="40" spans="1:8" ht="15" customHeight="1">
      <c r="A40" s="2" t="s">
        <v>183</v>
      </c>
      <c r="B40" s="4" t="s">
        <v>184</v>
      </c>
      <c r="C40" s="2" t="s">
        <v>149</v>
      </c>
      <c r="D40" s="2">
        <v>2</v>
      </c>
      <c r="E40" s="2">
        <v>9</v>
      </c>
      <c r="F40" s="2">
        <v>10</v>
      </c>
      <c r="G40" s="2">
        <v>10</v>
      </c>
      <c r="H40" s="2">
        <v>84</v>
      </c>
    </row>
    <row r="41" spans="1:8" ht="15" customHeight="1">
      <c r="A41" s="2" t="s">
        <v>185</v>
      </c>
      <c r="B41" s="4" t="s">
        <v>186</v>
      </c>
      <c r="C41" s="2" t="s">
        <v>149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</row>
    <row r="42" spans="1:8" ht="15" customHeight="1">
      <c r="A42" s="2" t="s">
        <v>185</v>
      </c>
      <c r="B42" s="4" t="s">
        <v>186</v>
      </c>
      <c r="C42" s="2" t="s">
        <v>149</v>
      </c>
      <c r="D42" s="2">
        <v>1</v>
      </c>
      <c r="E42" s="2">
        <v>7</v>
      </c>
      <c r="F42" s="2">
        <v>5</v>
      </c>
      <c r="G42" s="2">
        <v>7</v>
      </c>
      <c r="H42" s="2">
        <v>80</v>
      </c>
    </row>
    <row r="43" spans="1:8" ht="15" customHeight="1">
      <c r="A43" s="2" t="s">
        <v>185</v>
      </c>
      <c r="B43" s="4" t="s">
        <v>186</v>
      </c>
      <c r="C43" s="2" t="s">
        <v>149</v>
      </c>
      <c r="D43" s="2">
        <v>2</v>
      </c>
      <c r="E43" s="2">
        <v>12</v>
      </c>
      <c r="F43" s="2">
        <v>8</v>
      </c>
      <c r="G43" s="2">
        <v>11</v>
      </c>
      <c r="H43" s="2">
        <v>82</v>
      </c>
    </row>
    <row r="44" spans="1:8" ht="15" customHeight="1">
      <c r="A44" s="2" t="s">
        <v>187</v>
      </c>
      <c r="B44" s="4" t="s">
        <v>188</v>
      </c>
      <c r="C44" s="2" t="s">
        <v>149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</row>
    <row r="45" spans="1:8" ht="15" customHeight="1">
      <c r="A45" s="2" t="s">
        <v>187</v>
      </c>
      <c r="B45" s="4" t="s">
        <v>188</v>
      </c>
      <c r="C45" s="2" t="s">
        <v>149</v>
      </c>
      <c r="D45" s="2">
        <v>1</v>
      </c>
      <c r="E45" s="2">
        <v>5</v>
      </c>
      <c r="F45" s="2">
        <v>6</v>
      </c>
      <c r="G45" s="2">
        <v>7</v>
      </c>
      <c r="H45" s="2">
        <v>84</v>
      </c>
    </row>
    <row r="46" spans="1:8" ht="15" customHeight="1">
      <c r="A46" s="2" t="s">
        <v>187</v>
      </c>
      <c r="B46" s="4" t="s">
        <v>188</v>
      </c>
      <c r="C46" s="2" t="s">
        <v>149</v>
      </c>
      <c r="D46" s="2">
        <v>2</v>
      </c>
      <c r="E46" s="2">
        <v>10</v>
      </c>
      <c r="F46" s="2">
        <v>12</v>
      </c>
      <c r="G46" s="2">
        <v>13</v>
      </c>
      <c r="H46" s="2">
        <v>83</v>
      </c>
    </row>
    <row r="47" spans="1:8" ht="15" customHeight="1">
      <c r="A47" s="2" t="s">
        <v>189</v>
      </c>
      <c r="B47" s="4" t="s">
        <v>190</v>
      </c>
      <c r="C47" s="2" t="s">
        <v>149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</row>
    <row r="48" spans="1:8" ht="15" customHeight="1">
      <c r="A48" s="2" t="s">
        <v>189</v>
      </c>
      <c r="B48" s="4" t="s">
        <v>190</v>
      </c>
      <c r="C48" s="2" t="s">
        <v>149</v>
      </c>
      <c r="D48" s="2">
        <v>1</v>
      </c>
      <c r="E48" s="2">
        <v>7</v>
      </c>
      <c r="F48" s="2">
        <v>5</v>
      </c>
      <c r="G48" s="2">
        <v>6</v>
      </c>
      <c r="H48" s="2">
        <v>72</v>
      </c>
    </row>
    <row r="49" spans="1:8" ht="15" customHeight="1">
      <c r="A49" s="2" t="s">
        <v>189</v>
      </c>
      <c r="B49" s="4" t="s">
        <v>190</v>
      </c>
      <c r="C49" s="2" t="s">
        <v>149</v>
      </c>
      <c r="D49" s="2">
        <v>2</v>
      </c>
      <c r="E49" s="2">
        <v>13</v>
      </c>
      <c r="F49" s="2">
        <v>9</v>
      </c>
      <c r="G49" s="2">
        <v>11</v>
      </c>
      <c r="H49" s="2">
        <v>66</v>
      </c>
    </row>
    <row r="50" spans="1:8" ht="15" customHeight="1">
      <c r="A50" s="2" t="s">
        <v>191</v>
      </c>
      <c r="B50" s="4" t="s">
        <v>192</v>
      </c>
      <c r="C50" s="2" t="s">
        <v>149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</row>
    <row r="51" spans="1:8" ht="15" customHeight="1">
      <c r="A51" s="2" t="s">
        <v>191</v>
      </c>
      <c r="B51" s="4" t="s">
        <v>192</v>
      </c>
      <c r="C51" s="2" t="s">
        <v>149</v>
      </c>
      <c r="D51" s="2">
        <v>1</v>
      </c>
      <c r="E51" s="2">
        <v>5</v>
      </c>
      <c r="F51" s="2">
        <v>4</v>
      </c>
      <c r="G51" s="2">
        <v>6</v>
      </c>
      <c r="H51" s="2">
        <v>76</v>
      </c>
    </row>
    <row r="52" spans="1:8" ht="15" customHeight="1">
      <c r="A52" s="2" t="s">
        <v>191</v>
      </c>
      <c r="B52" s="4" t="s">
        <v>192</v>
      </c>
      <c r="C52" s="2" t="s">
        <v>149</v>
      </c>
      <c r="D52" s="2">
        <v>2</v>
      </c>
      <c r="E52" s="2">
        <v>11</v>
      </c>
      <c r="F52" s="2">
        <v>8</v>
      </c>
      <c r="G52" s="2">
        <v>12</v>
      </c>
      <c r="H52" s="2">
        <v>70</v>
      </c>
    </row>
    <row r="53" spans="1:8" ht="15" customHeight="1">
      <c r="A53" s="2" t="s">
        <v>193</v>
      </c>
      <c r="B53" s="4" t="s">
        <v>194</v>
      </c>
      <c r="C53" s="2" t="s">
        <v>149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</row>
    <row r="54" spans="1:8" ht="15" customHeight="1">
      <c r="A54" s="2" t="s">
        <v>193</v>
      </c>
      <c r="B54" s="4" t="s">
        <v>194</v>
      </c>
      <c r="C54" s="2" t="s">
        <v>149</v>
      </c>
      <c r="D54" s="2">
        <v>1</v>
      </c>
      <c r="E54" s="2">
        <v>6</v>
      </c>
      <c r="F54" s="2">
        <v>3</v>
      </c>
      <c r="G54" s="2">
        <v>-2</v>
      </c>
      <c r="H54" s="2">
        <v>72</v>
      </c>
    </row>
    <row r="55" spans="1:8" ht="15" customHeight="1">
      <c r="A55" s="2" t="s">
        <v>193</v>
      </c>
      <c r="B55" s="4" t="s">
        <v>194</v>
      </c>
      <c r="C55" s="2" t="s">
        <v>149</v>
      </c>
      <c r="D55" s="2">
        <v>2</v>
      </c>
      <c r="E55" s="2">
        <v>11</v>
      </c>
      <c r="F55" s="2">
        <v>5</v>
      </c>
      <c r="G55" s="2">
        <v>-5</v>
      </c>
      <c r="H55" s="2">
        <v>60</v>
      </c>
    </row>
    <row r="56" spans="1:8" ht="15" customHeight="1">
      <c r="A56" s="2" t="s">
        <v>195</v>
      </c>
      <c r="B56" s="4" t="s">
        <v>196</v>
      </c>
      <c r="C56" s="2" t="s">
        <v>150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</row>
    <row r="57" spans="1:8" ht="15" customHeight="1">
      <c r="A57" s="2" t="s">
        <v>195</v>
      </c>
      <c r="B57" s="4" t="s">
        <v>196</v>
      </c>
      <c r="C57" s="2" t="s">
        <v>150</v>
      </c>
      <c r="D57" s="2">
        <v>1</v>
      </c>
      <c r="E57" s="2">
        <v>5</v>
      </c>
      <c r="F57" s="2">
        <v>3</v>
      </c>
      <c r="G57" s="2">
        <v>6</v>
      </c>
      <c r="H57" s="2">
        <v>82</v>
      </c>
    </row>
    <row r="58" spans="1:8" ht="15" customHeight="1">
      <c r="A58" s="2" t="s">
        <v>195</v>
      </c>
      <c r="B58" s="4" t="s">
        <v>196</v>
      </c>
      <c r="C58" s="2" t="s">
        <v>150</v>
      </c>
      <c r="D58" s="2">
        <v>2</v>
      </c>
      <c r="E58" s="2">
        <v>9</v>
      </c>
      <c r="F58" s="2">
        <v>5</v>
      </c>
      <c r="G58" s="2">
        <v>11</v>
      </c>
      <c r="H58" s="2">
        <v>86</v>
      </c>
    </row>
    <row r="59" spans="1:8" ht="15" customHeight="1">
      <c r="A59" s="2" t="s">
        <v>197</v>
      </c>
      <c r="B59" s="4" t="s">
        <v>198</v>
      </c>
      <c r="C59" s="2" t="s">
        <v>150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</row>
    <row r="60" spans="1:8" ht="15" customHeight="1">
      <c r="A60" s="2" t="s">
        <v>197</v>
      </c>
      <c r="B60" s="4" t="s">
        <v>198</v>
      </c>
      <c r="C60" s="2" t="s">
        <v>150</v>
      </c>
      <c r="D60" s="2">
        <v>1</v>
      </c>
      <c r="E60" s="2">
        <v>5</v>
      </c>
      <c r="F60" s="2">
        <v>2</v>
      </c>
      <c r="G60" s="2">
        <v>6</v>
      </c>
      <c r="H60" s="2">
        <v>80</v>
      </c>
    </row>
    <row r="61" spans="1:8" ht="15" customHeight="1">
      <c r="A61" s="2" t="s">
        <v>197</v>
      </c>
      <c r="B61" s="4" t="s">
        <v>198</v>
      </c>
      <c r="C61" s="2" t="s">
        <v>150</v>
      </c>
      <c r="D61" s="2">
        <v>2</v>
      </c>
      <c r="E61" s="2">
        <v>9</v>
      </c>
      <c r="F61" s="2">
        <v>3</v>
      </c>
      <c r="G61" s="2">
        <v>11</v>
      </c>
      <c r="H61" s="2">
        <v>85</v>
      </c>
    </row>
    <row r="62" spans="1:8" ht="15" customHeight="1">
      <c r="A62" s="2" t="s">
        <v>199</v>
      </c>
      <c r="B62" s="4" t="s">
        <v>200</v>
      </c>
      <c r="C62" s="2" t="s">
        <v>150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</row>
    <row r="63" spans="1:8" ht="15" customHeight="1">
      <c r="A63" s="2" t="s">
        <v>199</v>
      </c>
      <c r="B63" s="4" t="s">
        <v>200</v>
      </c>
      <c r="C63" s="2" t="s">
        <v>150</v>
      </c>
      <c r="D63" s="2">
        <v>1</v>
      </c>
      <c r="E63" s="2">
        <v>6</v>
      </c>
      <c r="F63" s="2">
        <v>2</v>
      </c>
      <c r="G63" s="2">
        <v>5</v>
      </c>
      <c r="H63" s="2">
        <v>76</v>
      </c>
    </row>
    <row r="64" spans="1:8" ht="15" customHeight="1">
      <c r="A64" s="2" t="s">
        <v>199</v>
      </c>
      <c r="B64" s="4" t="s">
        <v>200</v>
      </c>
      <c r="C64" s="2" t="s">
        <v>150</v>
      </c>
      <c r="D64" s="2">
        <v>2</v>
      </c>
      <c r="E64" s="2">
        <v>11</v>
      </c>
      <c r="F64" s="2">
        <v>4</v>
      </c>
      <c r="G64" s="2">
        <v>8</v>
      </c>
      <c r="H64" s="2">
        <v>78</v>
      </c>
    </row>
    <row r="65" spans="1:8" ht="15" customHeight="1">
      <c r="A65" s="2" t="s">
        <v>201</v>
      </c>
      <c r="B65" s="4" t="s">
        <v>202</v>
      </c>
      <c r="C65" s="2" t="s">
        <v>150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</row>
    <row r="66" spans="1:8" ht="15" customHeight="1">
      <c r="A66" s="2" t="s">
        <v>201</v>
      </c>
      <c r="B66" s="4" t="s">
        <v>202</v>
      </c>
      <c r="C66" s="2" t="s">
        <v>150</v>
      </c>
      <c r="D66" s="2">
        <v>1</v>
      </c>
      <c r="E66" s="2">
        <v>6</v>
      </c>
      <c r="F66" s="2">
        <v>2</v>
      </c>
      <c r="G66" s="2">
        <v>5</v>
      </c>
      <c r="H66" s="2">
        <v>74</v>
      </c>
    </row>
    <row r="67" spans="1:8" ht="15" customHeight="1">
      <c r="A67" s="2" t="s">
        <v>201</v>
      </c>
      <c r="B67" s="4" t="s">
        <v>202</v>
      </c>
      <c r="C67" s="2" t="s">
        <v>150</v>
      </c>
      <c r="D67" s="2">
        <v>2</v>
      </c>
      <c r="E67" s="2">
        <v>11</v>
      </c>
      <c r="F67" s="2">
        <v>4</v>
      </c>
      <c r="G67" s="2">
        <v>8</v>
      </c>
      <c r="H67" s="2">
        <v>77</v>
      </c>
    </row>
    <row r="68" spans="1:8" ht="15" customHeight="1">
      <c r="A68" s="2" t="s">
        <v>203</v>
      </c>
      <c r="B68" s="4" t="s">
        <v>204</v>
      </c>
      <c r="C68" s="2" t="s">
        <v>150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</row>
    <row r="69" spans="1:8" ht="15" customHeight="1">
      <c r="A69" s="2" t="s">
        <v>203</v>
      </c>
      <c r="B69" s="4" t="s">
        <v>204</v>
      </c>
      <c r="C69" s="2" t="s">
        <v>150</v>
      </c>
      <c r="D69" s="2">
        <v>1</v>
      </c>
      <c r="E69" s="2">
        <v>4</v>
      </c>
      <c r="F69" s="2">
        <v>4</v>
      </c>
      <c r="G69" s="2">
        <v>7</v>
      </c>
      <c r="H69" s="2">
        <v>78</v>
      </c>
    </row>
    <row r="70" spans="1:8" ht="15" customHeight="1">
      <c r="A70" s="2" t="s">
        <v>203</v>
      </c>
      <c r="B70" s="4" t="s">
        <v>204</v>
      </c>
      <c r="C70" s="2" t="s">
        <v>150</v>
      </c>
      <c r="D70" s="2">
        <v>2</v>
      </c>
      <c r="E70" s="2">
        <v>7</v>
      </c>
      <c r="F70" s="2">
        <v>7</v>
      </c>
      <c r="G70" s="2">
        <v>11</v>
      </c>
      <c r="H70" s="2">
        <v>83</v>
      </c>
    </row>
    <row r="71" spans="1:8" ht="15" customHeight="1">
      <c r="A71" s="2" t="s">
        <v>205</v>
      </c>
      <c r="B71" s="4" t="s">
        <v>206</v>
      </c>
      <c r="C71" s="2" t="s">
        <v>150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</row>
    <row r="72" spans="1:8" ht="15" customHeight="1">
      <c r="A72" s="2" t="s">
        <v>205</v>
      </c>
      <c r="B72" s="4" t="s">
        <v>206</v>
      </c>
      <c r="C72" s="2" t="s">
        <v>150</v>
      </c>
      <c r="D72" s="2">
        <v>1</v>
      </c>
      <c r="E72" s="2">
        <v>7</v>
      </c>
      <c r="F72" s="2">
        <v>1</v>
      </c>
      <c r="G72" s="2">
        <v>-2</v>
      </c>
      <c r="H72" s="2">
        <v>58</v>
      </c>
    </row>
    <row r="73" spans="1:8" ht="15" customHeight="1">
      <c r="A73" s="2" t="s">
        <v>205</v>
      </c>
      <c r="B73" s="4" t="s">
        <v>206</v>
      </c>
      <c r="C73" s="2" t="s">
        <v>150</v>
      </c>
      <c r="D73" s="2">
        <v>2</v>
      </c>
      <c r="E73" s="2">
        <v>15</v>
      </c>
      <c r="F73" s="2">
        <v>2</v>
      </c>
      <c r="G73" s="2">
        <v>-2</v>
      </c>
      <c r="H73" s="2">
        <v>38</v>
      </c>
    </row>
    <row r="74" spans="1:8" ht="15" customHeight="1">
      <c r="A74" s="2" t="s">
        <v>207</v>
      </c>
      <c r="B74" s="4" t="s">
        <v>208</v>
      </c>
      <c r="C74" s="2" t="s">
        <v>151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</row>
    <row r="75" spans="1:8" ht="15" customHeight="1">
      <c r="A75" s="2" t="s">
        <v>207</v>
      </c>
      <c r="B75" s="4" t="s">
        <v>208</v>
      </c>
      <c r="C75" s="2" t="s">
        <v>151</v>
      </c>
      <c r="D75" s="2">
        <v>1</v>
      </c>
      <c r="E75" s="2">
        <v>3</v>
      </c>
      <c r="F75" s="2">
        <v>4</v>
      </c>
      <c r="G75" s="2">
        <v>4</v>
      </c>
      <c r="H75" s="2">
        <v>86</v>
      </c>
    </row>
    <row r="76" spans="1:8" ht="15" customHeight="1">
      <c r="A76" s="2" t="s">
        <v>207</v>
      </c>
      <c r="B76" s="4" t="s">
        <v>208</v>
      </c>
      <c r="C76" s="2" t="s">
        <v>151</v>
      </c>
      <c r="D76" s="2">
        <v>2</v>
      </c>
      <c r="E76" s="2">
        <v>5</v>
      </c>
      <c r="F76" s="2">
        <v>6</v>
      </c>
      <c r="G76" s="2">
        <v>7</v>
      </c>
      <c r="H76" s="2">
        <v>84</v>
      </c>
    </row>
    <row r="77" spans="1:8" ht="15" customHeight="1">
      <c r="A77" s="2" t="s">
        <v>209</v>
      </c>
      <c r="B77" s="4" t="s">
        <v>210</v>
      </c>
      <c r="C77" s="2" t="s">
        <v>151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</row>
    <row r="78" spans="1:8" ht="15" customHeight="1">
      <c r="A78" s="2" t="s">
        <v>209</v>
      </c>
      <c r="B78" s="4" t="s">
        <v>210</v>
      </c>
      <c r="C78" s="2" t="s">
        <v>151</v>
      </c>
      <c r="D78" s="2">
        <v>1</v>
      </c>
      <c r="E78" s="2">
        <v>5</v>
      </c>
      <c r="F78" s="2">
        <v>6</v>
      </c>
      <c r="G78" s="2">
        <v>6</v>
      </c>
      <c r="H78" s="2">
        <v>82</v>
      </c>
    </row>
    <row r="79" spans="1:8" ht="15" customHeight="1">
      <c r="A79" s="2" t="s">
        <v>209</v>
      </c>
      <c r="B79" s="4" t="s">
        <v>210</v>
      </c>
      <c r="C79" s="2" t="s">
        <v>151</v>
      </c>
      <c r="D79" s="2">
        <v>2</v>
      </c>
      <c r="E79" s="2">
        <v>10</v>
      </c>
      <c r="F79" s="2">
        <v>11</v>
      </c>
      <c r="G79" s="2">
        <v>11</v>
      </c>
      <c r="H79" s="2">
        <v>76</v>
      </c>
    </row>
    <row r="80" spans="1:8" ht="15" customHeight="1">
      <c r="A80" s="2" t="s">
        <v>211</v>
      </c>
      <c r="B80" s="4" t="s">
        <v>212</v>
      </c>
      <c r="C80" s="2" t="s">
        <v>151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</row>
    <row r="81" spans="1:8" ht="15" customHeight="1">
      <c r="A81" s="2" t="s">
        <v>211</v>
      </c>
      <c r="B81" s="4" t="s">
        <v>212</v>
      </c>
      <c r="C81" s="2" t="s">
        <v>151</v>
      </c>
      <c r="D81" s="2">
        <v>1</v>
      </c>
      <c r="E81" s="2">
        <v>3</v>
      </c>
      <c r="F81" s="2">
        <v>4</v>
      </c>
      <c r="G81" s="2">
        <v>4</v>
      </c>
      <c r="H81" s="2">
        <v>85</v>
      </c>
    </row>
    <row r="82" spans="1:8" ht="15" customHeight="1">
      <c r="A82" s="2" t="s">
        <v>211</v>
      </c>
      <c r="B82" s="4" t="s">
        <v>212</v>
      </c>
      <c r="C82" s="2" t="s">
        <v>151</v>
      </c>
      <c r="D82" s="2">
        <v>2</v>
      </c>
      <c r="E82" s="2">
        <v>5</v>
      </c>
      <c r="F82" s="2">
        <v>6</v>
      </c>
      <c r="G82" s="2">
        <v>7</v>
      </c>
      <c r="H82" s="2">
        <v>80</v>
      </c>
    </row>
    <row r="83" spans="1:8" ht="15" customHeight="1">
      <c r="A83" s="2" t="s">
        <v>213</v>
      </c>
      <c r="B83" s="4" t="s">
        <v>214</v>
      </c>
      <c r="C83" s="2" t="s">
        <v>151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</row>
    <row r="84" spans="1:8" ht="15" customHeight="1">
      <c r="A84" s="2" t="s">
        <v>213</v>
      </c>
      <c r="B84" s="4" t="s">
        <v>214</v>
      </c>
      <c r="C84" s="2" t="s">
        <v>151</v>
      </c>
      <c r="D84" s="2">
        <v>1</v>
      </c>
      <c r="E84" s="2">
        <v>4</v>
      </c>
      <c r="F84" s="2">
        <v>4</v>
      </c>
      <c r="G84" s="2">
        <v>5</v>
      </c>
      <c r="H84" s="2">
        <v>76</v>
      </c>
    </row>
    <row r="85" spans="1:8" ht="15" customHeight="1">
      <c r="A85" s="2" t="s">
        <v>213</v>
      </c>
      <c r="B85" s="4" t="s">
        <v>214</v>
      </c>
      <c r="C85" s="2" t="s">
        <v>151</v>
      </c>
      <c r="D85" s="2">
        <v>2</v>
      </c>
      <c r="E85" s="2">
        <v>8</v>
      </c>
      <c r="F85" s="2">
        <v>7</v>
      </c>
      <c r="G85" s="2">
        <v>10</v>
      </c>
      <c r="H85" s="2">
        <v>74</v>
      </c>
    </row>
    <row r="86" spans="1:8" ht="15" customHeight="1">
      <c r="A86" s="2" t="s">
        <v>215</v>
      </c>
      <c r="B86" s="4" t="s">
        <v>216</v>
      </c>
      <c r="C86" s="2" t="s">
        <v>151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</row>
    <row r="87" spans="1:8" ht="15" customHeight="1">
      <c r="A87" s="2" t="s">
        <v>215</v>
      </c>
      <c r="B87" s="4" t="s">
        <v>216</v>
      </c>
      <c r="C87" s="2" t="s">
        <v>151</v>
      </c>
      <c r="D87" s="2">
        <v>1</v>
      </c>
      <c r="E87" s="2">
        <v>5</v>
      </c>
      <c r="F87" s="2">
        <v>2</v>
      </c>
      <c r="G87" s="2">
        <v>5</v>
      </c>
      <c r="H87" s="2">
        <v>80</v>
      </c>
    </row>
    <row r="88" spans="1:8" ht="15" customHeight="1">
      <c r="A88" s="2" t="s">
        <v>215</v>
      </c>
      <c r="B88" s="4" t="s">
        <v>216</v>
      </c>
      <c r="C88" s="2" t="s">
        <v>151</v>
      </c>
      <c r="D88" s="2">
        <v>2</v>
      </c>
      <c r="E88" s="2">
        <v>11</v>
      </c>
      <c r="F88" s="2">
        <v>3</v>
      </c>
      <c r="G88" s="2">
        <v>11</v>
      </c>
      <c r="H88" s="2">
        <v>86</v>
      </c>
    </row>
    <row r="89" spans="1:8" ht="15" customHeight="1">
      <c r="A89" s="2" t="s">
        <v>217</v>
      </c>
      <c r="B89" s="4" t="s">
        <v>218</v>
      </c>
      <c r="C89" s="2" t="s">
        <v>151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</row>
    <row r="90" spans="1:8" ht="15" customHeight="1">
      <c r="A90" s="2" t="s">
        <v>217</v>
      </c>
      <c r="B90" s="4" t="s">
        <v>218</v>
      </c>
      <c r="C90" s="2" t="s">
        <v>151</v>
      </c>
      <c r="D90" s="2">
        <v>1</v>
      </c>
      <c r="E90" s="2">
        <v>3</v>
      </c>
      <c r="F90" s="2">
        <v>2</v>
      </c>
      <c r="G90" s="2">
        <v>-2</v>
      </c>
      <c r="H90" s="2">
        <v>60</v>
      </c>
    </row>
    <row r="91" spans="1:8" ht="15" customHeight="1">
      <c r="A91" s="2" t="s">
        <v>217</v>
      </c>
      <c r="B91" s="4" t="s">
        <v>218</v>
      </c>
      <c r="C91" s="2" t="s">
        <v>151</v>
      </c>
      <c r="D91" s="2">
        <v>2</v>
      </c>
      <c r="E91" s="2">
        <v>5</v>
      </c>
      <c r="F91" s="2">
        <v>3</v>
      </c>
      <c r="G91" s="2">
        <v>-2</v>
      </c>
      <c r="H91" s="2">
        <v>40</v>
      </c>
    </row>
    <row r="92" spans="1:8" ht="15" customHeight="1">
      <c r="A92" s="2" t="s">
        <v>219</v>
      </c>
      <c r="B92" s="4" t="s">
        <v>220</v>
      </c>
      <c r="C92" s="2" t="s">
        <v>152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</row>
    <row r="93" spans="1:8" ht="15" customHeight="1">
      <c r="A93" s="2" t="s">
        <v>219</v>
      </c>
      <c r="B93" s="4" t="s">
        <v>220</v>
      </c>
      <c r="C93" s="2" t="s">
        <v>152</v>
      </c>
      <c r="D93" s="2">
        <v>1</v>
      </c>
      <c r="E93" s="2">
        <v>5</v>
      </c>
      <c r="F93" s="2">
        <v>7</v>
      </c>
      <c r="G93" s="2">
        <v>3</v>
      </c>
      <c r="H93" s="2">
        <v>58</v>
      </c>
    </row>
    <row r="94" spans="1:8" ht="15" customHeight="1">
      <c r="A94" s="2" t="s">
        <v>219</v>
      </c>
      <c r="B94" s="4" t="s">
        <v>220</v>
      </c>
      <c r="C94" s="2" t="s">
        <v>152</v>
      </c>
      <c r="D94" s="2">
        <v>2</v>
      </c>
      <c r="E94" s="2">
        <v>12</v>
      </c>
      <c r="F94" s="2">
        <v>16</v>
      </c>
      <c r="G94" s="2">
        <v>4</v>
      </c>
      <c r="H94" s="2">
        <v>42</v>
      </c>
    </row>
    <row r="95" spans="1:8" ht="15" customHeight="1">
      <c r="A95" s="2" t="s">
        <v>221</v>
      </c>
      <c r="B95" s="4" t="s">
        <v>222</v>
      </c>
      <c r="C95" s="2" t="s">
        <v>152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</row>
    <row r="96" spans="1:8" ht="15" customHeight="1">
      <c r="A96" s="2" t="s">
        <v>221</v>
      </c>
      <c r="B96" s="4" t="s">
        <v>222</v>
      </c>
      <c r="C96" s="2" t="s">
        <v>152</v>
      </c>
      <c r="D96" s="2">
        <v>1</v>
      </c>
      <c r="E96" s="2">
        <v>4</v>
      </c>
      <c r="F96" s="2">
        <v>6</v>
      </c>
      <c r="G96" s="2">
        <v>-2</v>
      </c>
      <c r="H96" s="2">
        <v>52</v>
      </c>
    </row>
    <row r="97" spans="1:8" ht="15" customHeight="1">
      <c r="A97" s="2" t="s">
        <v>221</v>
      </c>
      <c r="B97" s="4" t="s">
        <v>222</v>
      </c>
      <c r="C97" s="2" t="s">
        <v>152</v>
      </c>
      <c r="D97" s="2">
        <v>2</v>
      </c>
      <c r="E97" s="2">
        <v>10</v>
      </c>
      <c r="F97" s="2">
        <v>13</v>
      </c>
      <c r="G97" s="2">
        <v>-2</v>
      </c>
      <c r="H97" s="2">
        <v>32</v>
      </c>
    </row>
    <row r="98" spans="1:8" ht="15" customHeight="1">
      <c r="A98" s="2" t="s">
        <v>223</v>
      </c>
      <c r="B98" s="4" t="s">
        <v>224</v>
      </c>
      <c r="C98" s="2" t="s">
        <v>152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</row>
    <row r="99" spans="1:8" ht="15" customHeight="1">
      <c r="A99" s="2" t="s">
        <v>223</v>
      </c>
      <c r="B99" s="4" t="s">
        <v>224</v>
      </c>
      <c r="C99" s="2" t="s">
        <v>152</v>
      </c>
      <c r="D99" s="2">
        <v>1</v>
      </c>
      <c r="E99" s="2">
        <v>4</v>
      </c>
      <c r="F99" s="2">
        <v>6</v>
      </c>
      <c r="G99" s="2">
        <v>4</v>
      </c>
      <c r="H99" s="2">
        <v>68</v>
      </c>
    </row>
    <row r="100" spans="1:8" ht="15" customHeight="1">
      <c r="A100" s="2" t="s">
        <v>223</v>
      </c>
      <c r="B100" s="4" t="s">
        <v>224</v>
      </c>
      <c r="C100" s="2" t="s">
        <v>152</v>
      </c>
      <c r="D100" s="2">
        <v>2</v>
      </c>
      <c r="E100" s="2">
        <v>7</v>
      </c>
      <c r="F100" s="2">
        <v>10</v>
      </c>
      <c r="G100" s="2">
        <v>6</v>
      </c>
      <c r="H100" s="2">
        <v>62</v>
      </c>
    </row>
    <row r="101" spans="1:8" ht="15" customHeight="1">
      <c r="A101" s="2" t="s">
        <v>225</v>
      </c>
      <c r="B101" s="4" t="s">
        <v>226</v>
      </c>
      <c r="C101" s="2" t="s">
        <v>152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</row>
    <row r="102" spans="1:8" ht="15" customHeight="1">
      <c r="A102" s="2" t="s">
        <v>225</v>
      </c>
      <c r="B102" s="4" t="s">
        <v>226</v>
      </c>
      <c r="C102" s="2" t="s">
        <v>152</v>
      </c>
      <c r="D102" s="2">
        <v>1</v>
      </c>
      <c r="E102" s="2">
        <v>4</v>
      </c>
      <c r="F102" s="2">
        <v>5</v>
      </c>
      <c r="G102" s="2">
        <v>3</v>
      </c>
      <c r="H102" s="2">
        <v>62</v>
      </c>
    </row>
    <row r="103" spans="1:8" ht="15" customHeight="1">
      <c r="A103" s="2" t="s">
        <v>225</v>
      </c>
      <c r="B103" s="4" t="s">
        <v>226</v>
      </c>
      <c r="C103" s="2" t="s">
        <v>152</v>
      </c>
      <c r="D103" s="2">
        <v>2</v>
      </c>
      <c r="E103" s="2">
        <v>8</v>
      </c>
      <c r="F103" s="2">
        <v>10</v>
      </c>
      <c r="G103" s="2">
        <v>5</v>
      </c>
      <c r="H103" s="2">
        <v>52</v>
      </c>
    </row>
    <row r="104" spans="1:8" ht="15" customHeight="1">
      <c r="A104" s="2" t="s">
        <v>227</v>
      </c>
      <c r="B104" s="4" t="s">
        <v>228</v>
      </c>
      <c r="C104" s="2" t="s">
        <v>152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</row>
    <row r="105" spans="1:8" ht="15" customHeight="1">
      <c r="A105" s="2" t="s">
        <v>227</v>
      </c>
      <c r="B105" s="4" t="s">
        <v>228</v>
      </c>
      <c r="C105" s="2" t="s">
        <v>152</v>
      </c>
      <c r="D105" s="2">
        <v>1</v>
      </c>
      <c r="E105" s="2">
        <v>5</v>
      </c>
      <c r="F105" s="2">
        <v>6</v>
      </c>
      <c r="G105" s="2">
        <v>3</v>
      </c>
      <c r="H105" s="2">
        <v>55</v>
      </c>
    </row>
    <row r="106" spans="1:8" ht="15" customHeight="1">
      <c r="A106" s="2" t="s">
        <v>227</v>
      </c>
      <c r="B106" s="4" t="s">
        <v>228</v>
      </c>
      <c r="C106" s="2" t="s">
        <v>152</v>
      </c>
      <c r="D106" s="2">
        <v>2</v>
      </c>
      <c r="E106" s="2">
        <v>10</v>
      </c>
      <c r="F106" s="2">
        <v>13</v>
      </c>
      <c r="G106" s="2">
        <v>4</v>
      </c>
      <c r="H106" s="2">
        <v>40</v>
      </c>
    </row>
    <row r="107" spans="1:8" ht="15" customHeight="1">
      <c r="A107" s="2" t="s">
        <v>229</v>
      </c>
      <c r="B107" s="4" t="s">
        <v>230</v>
      </c>
      <c r="C107" s="2" t="s">
        <v>152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</row>
    <row r="108" spans="1:8" ht="15" customHeight="1">
      <c r="A108" s="2" t="s">
        <v>229</v>
      </c>
      <c r="B108" s="4" t="s">
        <v>230</v>
      </c>
      <c r="C108" s="2" t="s">
        <v>152</v>
      </c>
      <c r="D108" s="2">
        <v>1</v>
      </c>
      <c r="E108" s="2">
        <v>6</v>
      </c>
      <c r="F108" s="2">
        <v>8</v>
      </c>
      <c r="G108" s="2">
        <v>-2</v>
      </c>
      <c r="H108" s="2">
        <v>45</v>
      </c>
    </row>
    <row r="109" spans="1:8" ht="15" customHeight="1">
      <c r="A109" s="2" t="s">
        <v>229</v>
      </c>
      <c r="B109" s="4" t="s">
        <v>230</v>
      </c>
      <c r="C109" s="2" t="s">
        <v>152</v>
      </c>
      <c r="D109" s="2">
        <v>2</v>
      </c>
      <c r="E109" s="2">
        <v>15</v>
      </c>
      <c r="F109" s="2">
        <v>18</v>
      </c>
      <c r="G109" s="2">
        <v>-2</v>
      </c>
      <c r="H109" s="2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3.8"/>
  <cols>
    <col min="1" max="1" width="14" customWidth="1"/>
    <col min="2" max="2" width="20" customWidth="1"/>
    <col min="3" max="3" width="22" customWidth="1"/>
    <col min="4" max="5" width="13" customWidth="1"/>
    <col min="6" max="6" width="14" customWidth="1"/>
    <col min="7" max="7" width="18" customWidth="1"/>
    <col min="8" max="9" width="22" customWidth="1"/>
    <col min="10" max="10" width="39" customWidth="1"/>
  </cols>
  <sheetData>
    <row r="1" spans="1:10" ht="36" customHeight="1">
      <c r="A1" s="3" t="s">
        <v>157</v>
      </c>
      <c r="B1" s="3" t="s">
        <v>231</v>
      </c>
      <c r="C1" s="3" t="s">
        <v>232</v>
      </c>
      <c r="D1" s="3" t="s">
        <v>233</v>
      </c>
      <c r="E1" s="3" t="s">
        <v>234</v>
      </c>
      <c r="F1" s="3" t="s">
        <v>235</v>
      </c>
      <c r="G1" s="3" t="s">
        <v>236</v>
      </c>
      <c r="H1" s="3" t="s">
        <v>237</v>
      </c>
      <c r="I1" s="3" t="s">
        <v>238</v>
      </c>
      <c r="J1" s="3" t="s">
        <v>239</v>
      </c>
    </row>
    <row r="2" spans="1:10" ht="25.05" customHeight="1">
      <c r="A2" s="2" t="s">
        <v>95</v>
      </c>
      <c r="B2" s="2" t="s">
        <v>240</v>
      </c>
      <c r="C2" s="2" t="s">
        <v>241</v>
      </c>
      <c r="D2" s="2">
        <v>1</v>
      </c>
      <c r="E2" s="2">
        <v>1</v>
      </c>
      <c r="F2" s="7">
        <v>0</v>
      </c>
      <c r="G2" s="7" t="s">
        <v>242</v>
      </c>
      <c r="H2" s="7" t="s">
        <v>243</v>
      </c>
      <c r="I2" s="7" t="s">
        <v>242</v>
      </c>
      <c r="J2" s="2" t="s">
        <v>244</v>
      </c>
    </row>
    <row r="3" spans="1:10" ht="25.05" customHeight="1">
      <c r="A3" s="2" t="s">
        <v>96</v>
      </c>
      <c r="B3" s="2" t="s">
        <v>240</v>
      </c>
      <c r="C3" s="2" t="s">
        <v>241</v>
      </c>
      <c r="D3" s="2">
        <v>1</v>
      </c>
      <c r="E3" s="2">
        <v>1</v>
      </c>
      <c r="F3" s="7">
        <v>0</v>
      </c>
      <c r="G3" s="7" t="s">
        <v>242</v>
      </c>
      <c r="H3" s="7" t="s">
        <v>243</v>
      </c>
      <c r="I3" s="7" t="s">
        <v>242</v>
      </c>
      <c r="J3" s="2" t="s">
        <v>244</v>
      </c>
    </row>
    <row r="4" spans="1:10" ht="25.05" customHeight="1">
      <c r="A4" s="2" t="s">
        <v>97</v>
      </c>
      <c r="B4" s="2" t="s">
        <v>240</v>
      </c>
      <c r="C4" s="2" t="s">
        <v>241</v>
      </c>
      <c r="D4" s="2">
        <v>1</v>
      </c>
      <c r="E4" s="2">
        <v>1</v>
      </c>
      <c r="F4" s="7">
        <v>0</v>
      </c>
      <c r="G4" s="7" t="s">
        <v>242</v>
      </c>
      <c r="H4" s="7" t="s">
        <v>243</v>
      </c>
      <c r="I4" s="7" t="s">
        <v>242</v>
      </c>
      <c r="J4" s="2" t="s">
        <v>244</v>
      </c>
    </row>
    <row r="5" spans="1:10" ht="25.05" customHeight="1">
      <c r="A5" s="2" t="s">
        <v>165</v>
      </c>
      <c r="B5" s="2" t="s">
        <v>240</v>
      </c>
      <c r="C5" s="2" t="s">
        <v>241</v>
      </c>
      <c r="D5" s="2">
        <v>1</v>
      </c>
      <c r="E5" s="2">
        <v>1</v>
      </c>
      <c r="F5" s="7">
        <v>0</v>
      </c>
      <c r="G5" s="7" t="s">
        <v>242</v>
      </c>
      <c r="H5" s="7" t="s">
        <v>243</v>
      </c>
      <c r="I5" s="7" t="s">
        <v>242</v>
      </c>
      <c r="J5" s="2" t="s">
        <v>244</v>
      </c>
    </row>
    <row r="6" spans="1:10" ht="25.05" customHeight="1">
      <c r="A6" s="2" t="s">
        <v>167</v>
      </c>
      <c r="B6" s="2" t="s">
        <v>240</v>
      </c>
      <c r="C6" s="2" t="s">
        <v>241</v>
      </c>
      <c r="D6" s="2">
        <v>1</v>
      </c>
      <c r="E6" s="2">
        <v>1</v>
      </c>
      <c r="F6" s="7">
        <v>0</v>
      </c>
      <c r="G6" s="7" t="s">
        <v>242</v>
      </c>
      <c r="H6" s="7" t="s">
        <v>243</v>
      </c>
      <c r="I6" s="7" t="s">
        <v>242</v>
      </c>
      <c r="J6" s="2" t="s">
        <v>244</v>
      </c>
    </row>
    <row r="7" spans="1:10" ht="25.05" customHeight="1">
      <c r="A7" s="2" t="s">
        <v>169</v>
      </c>
      <c r="B7" s="2" t="s">
        <v>240</v>
      </c>
      <c r="C7" s="2" t="s">
        <v>241</v>
      </c>
      <c r="D7" s="2">
        <v>1</v>
      </c>
      <c r="E7" s="2">
        <v>1</v>
      </c>
      <c r="F7" s="7">
        <v>0</v>
      </c>
      <c r="G7" s="7" t="s">
        <v>242</v>
      </c>
      <c r="H7" s="7" t="s">
        <v>243</v>
      </c>
      <c r="I7" s="7" t="s">
        <v>242</v>
      </c>
      <c r="J7" s="2" t="s">
        <v>244</v>
      </c>
    </row>
    <row r="8" spans="1:10" ht="25.05" customHeight="1">
      <c r="A8" s="2" t="s">
        <v>171</v>
      </c>
      <c r="B8" s="2" t="s">
        <v>245</v>
      </c>
      <c r="C8" s="2" t="s">
        <v>246</v>
      </c>
      <c r="D8" s="2">
        <v>0</v>
      </c>
      <c r="E8" s="2">
        <v>0</v>
      </c>
      <c r="F8" s="7">
        <v>1</v>
      </c>
      <c r="G8" s="7" t="s">
        <v>247</v>
      </c>
      <c r="H8" s="7" t="s">
        <v>248</v>
      </c>
      <c r="I8" s="7" t="s">
        <v>242</v>
      </c>
      <c r="J8" s="2" t="s">
        <v>249</v>
      </c>
    </row>
    <row r="9" spans="1:10" ht="25.05" customHeight="1">
      <c r="A9" s="2" t="s">
        <v>173</v>
      </c>
      <c r="B9" s="2" t="s">
        <v>245</v>
      </c>
      <c r="C9" s="2" t="s">
        <v>246</v>
      </c>
      <c r="D9" s="2">
        <v>0</v>
      </c>
      <c r="E9" s="2">
        <v>0</v>
      </c>
      <c r="F9" s="7">
        <v>1</v>
      </c>
      <c r="G9" s="7" t="s">
        <v>247</v>
      </c>
      <c r="H9" s="7" t="s">
        <v>248</v>
      </c>
      <c r="I9" s="7" t="s">
        <v>242</v>
      </c>
      <c r="J9" s="2" t="s">
        <v>249</v>
      </c>
    </row>
    <row r="10" spans="1:10" ht="25.05" customHeight="1">
      <c r="A10" s="2" t="s">
        <v>175</v>
      </c>
      <c r="B10" s="2" t="s">
        <v>245</v>
      </c>
      <c r="C10" s="2" t="s">
        <v>246</v>
      </c>
      <c r="D10" s="2">
        <v>0</v>
      </c>
      <c r="E10" s="2">
        <v>0</v>
      </c>
      <c r="F10" s="7">
        <v>1</v>
      </c>
      <c r="G10" s="7" t="s">
        <v>247</v>
      </c>
      <c r="H10" s="7" t="s">
        <v>248</v>
      </c>
      <c r="I10" s="7" t="s">
        <v>242</v>
      </c>
      <c r="J10" s="2" t="s">
        <v>249</v>
      </c>
    </row>
    <row r="11" spans="1:10" ht="25.05" customHeight="1">
      <c r="A11" s="2" t="s">
        <v>177</v>
      </c>
      <c r="B11" s="2" t="s">
        <v>245</v>
      </c>
      <c r="C11" s="2" t="s">
        <v>246</v>
      </c>
      <c r="D11" s="2">
        <v>0</v>
      </c>
      <c r="E11" s="2">
        <v>0</v>
      </c>
      <c r="F11" s="7">
        <v>1</v>
      </c>
      <c r="G11" s="7" t="s">
        <v>247</v>
      </c>
      <c r="H11" s="7" t="s">
        <v>248</v>
      </c>
      <c r="I11" s="7" t="s">
        <v>242</v>
      </c>
      <c r="J11" s="2" t="s">
        <v>249</v>
      </c>
    </row>
    <row r="12" spans="1:10" ht="25.05" customHeight="1">
      <c r="A12" s="2" t="s">
        <v>179</v>
      </c>
      <c r="B12" s="2" t="s">
        <v>245</v>
      </c>
      <c r="C12" s="2" t="s">
        <v>246</v>
      </c>
      <c r="D12" s="2">
        <v>0</v>
      </c>
      <c r="E12" s="2">
        <v>0</v>
      </c>
      <c r="F12" s="7">
        <v>1</v>
      </c>
      <c r="G12" s="7" t="s">
        <v>247</v>
      </c>
      <c r="H12" s="7" t="s">
        <v>248</v>
      </c>
      <c r="I12" s="7" t="s">
        <v>242</v>
      </c>
      <c r="J12" s="2" t="s">
        <v>249</v>
      </c>
    </row>
    <row r="13" spans="1:10" ht="25.05" customHeight="1">
      <c r="A13" s="2" t="s">
        <v>181</v>
      </c>
      <c r="B13" s="2" t="s">
        <v>245</v>
      </c>
      <c r="C13" s="2" t="s">
        <v>246</v>
      </c>
      <c r="D13" s="2">
        <v>0</v>
      </c>
      <c r="E13" s="2">
        <v>0</v>
      </c>
      <c r="F13" s="7">
        <v>1</v>
      </c>
      <c r="G13" s="7" t="s">
        <v>247</v>
      </c>
      <c r="H13" s="7" t="s">
        <v>248</v>
      </c>
      <c r="I13" s="7" t="s">
        <v>242</v>
      </c>
      <c r="J13" s="2" t="s">
        <v>249</v>
      </c>
    </row>
    <row r="14" spans="1:10" ht="25.05" customHeight="1">
      <c r="A14" s="2" t="s">
        <v>183</v>
      </c>
      <c r="B14" s="2" t="s">
        <v>245</v>
      </c>
      <c r="C14" s="2" t="s">
        <v>246</v>
      </c>
      <c r="D14" s="2">
        <v>0</v>
      </c>
      <c r="E14" s="2">
        <v>0</v>
      </c>
      <c r="F14" s="7">
        <v>1</v>
      </c>
      <c r="G14" s="7" t="s">
        <v>247</v>
      </c>
      <c r="H14" s="7" t="s">
        <v>248</v>
      </c>
      <c r="I14" s="7" t="s">
        <v>242</v>
      </c>
      <c r="J14" s="2" t="s">
        <v>250</v>
      </c>
    </row>
    <row r="15" spans="1:10" ht="25.05" customHeight="1">
      <c r="A15" s="2" t="s">
        <v>185</v>
      </c>
      <c r="B15" s="2" t="s">
        <v>245</v>
      </c>
      <c r="C15" s="2" t="s">
        <v>246</v>
      </c>
      <c r="D15" s="2">
        <v>0</v>
      </c>
      <c r="E15" s="2">
        <v>0</v>
      </c>
      <c r="F15" s="7">
        <v>1</v>
      </c>
      <c r="G15" s="7" t="s">
        <v>247</v>
      </c>
      <c r="H15" s="7" t="s">
        <v>248</v>
      </c>
      <c r="I15" s="7" t="s">
        <v>242</v>
      </c>
      <c r="J15" s="2" t="s">
        <v>250</v>
      </c>
    </row>
    <row r="16" spans="1:10" ht="25.05" customHeight="1">
      <c r="A16" s="2" t="s">
        <v>187</v>
      </c>
      <c r="B16" s="2" t="s">
        <v>245</v>
      </c>
      <c r="C16" s="2" t="s">
        <v>246</v>
      </c>
      <c r="D16" s="2">
        <v>0</v>
      </c>
      <c r="E16" s="2">
        <v>0</v>
      </c>
      <c r="F16" s="7">
        <v>1</v>
      </c>
      <c r="G16" s="7" t="s">
        <v>247</v>
      </c>
      <c r="H16" s="7" t="s">
        <v>248</v>
      </c>
      <c r="I16" s="7" t="s">
        <v>242</v>
      </c>
      <c r="J16" s="2" t="s">
        <v>250</v>
      </c>
    </row>
    <row r="17" spans="1:10" ht="25.05" customHeight="1">
      <c r="A17" s="2" t="s">
        <v>189</v>
      </c>
      <c r="B17" s="2" t="s">
        <v>245</v>
      </c>
      <c r="C17" s="2" t="s">
        <v>246</v>
      </c>
      <c r="D17" s="2">
        <v>0</v>
      </c>
      <c r="E17" s="2">
        <v>0</v>
      </c>
      <c r="F17" s="7">
        <v>1</v>
      </c>
      <c r="G17" s="7" t="s">
        <v>247</v>
      </c>
      <c r="H17" s="7" t="s">
        <v>248</v>
      </c>
      <c r="I17" s="7" t="s">
        <v>242</v>
      </c>
      <c r="J17" s="2" t="s">
        <v>250</v>
      </c>
    </row>
    <row r="18" spans="1:10" ht="25.05" customHeight="1">
      <c r="A18" s="2" t="s">
        <v>191</v>
      </c>
      <c r="B18" s="2" t="s">
        <v>245</v>
      </c>
      <c r="C18" s="2" t="s">
        <v>246</v>
      </c>
      <c r="D18" s="2">
        <v>0</v>
      </c>
      <c r="E18" s="2">
        <v>0</v>
      </c>
      <c r="F18" s="7">
        <v>1</v>
      </c>
      <c r="G18" s="7" t="s">
        <v>247</v>
      </c>
      <c r="H18" s="7" t="s">
        <v>248</v>
      </c>
      <c r="I18" s="7" t="s">
        <v>242</v>
      </c>
      <c r="J18" s="2" t="s">
        <v>250</v>
      </c>
    </row>
    <row r="19" spans="1:10" ht="25.05" customHeight="1">
      <c r="A19" s="2" t="s">
        <v>193</v>
      </c>
      <c r="B19" s="2" t="s">
        <v>245</v>
      </c>
      <c r="C19" s="2" t="s">
        <v>246</v>
      </c>
      <c r="D19" s="2">
        <v>0</v>
      </c>
      <c r="E19" s="2">
        <v>0</v>
      </c>
      <c r="F19" s="7">
        <v>1</v>
      </c>
      <c r="G19" s="7" t="s">
        <v>247</v>
      </c>
      <c r="H19" s="7" t="s">
        <v>248</v>
      </c>
      <c r="I19" s="7" t="s">
        <v>242</v>
      </c>
      <c r="J19" s="2" t="s">
        <v>250</v>
      </c>
    </row>
    <row r="20" spans="1:10" ht="25.05" customHeight="1">
      <c r="A20" s="2" t="s">
        <v>195</v>
      </c>
      <c r="B20" s="2" t="s">
        <v>245</v>
      </c>
      <c r="C20" s="2" t="s">
        <v>246</v>
      </c>
      <c r="D20" s="2">
        <v>0</v>
      </c>
      <c r="E20" s="2">
        <v>0</v>
      </c>
      <c r="F20" s="7">
        <v>1</v>
      </c>
      <c r="G20" s="7" t="s">
        <v>247</v>
      </c>
      <c r="H20" s="7" t="s">
        <v>248</v>
      </c>
      <c r="I20" s="7" t="s">
        <v>242</v>
      </c>
      <c r="J20" s="2" t="s">
        <v>251</v>
      </c>
    </row>
    <row r="21" spans="1:10" ht="25.05" customHeight="1">
      <c r="A21" s="2" t="s">
        <v>197</v>
      </c>
      <c r="B21" s="2" t="s">
        <v>245</v>
      </c>
      <c r="C21" s="2" t="s">
        <v>246</v>
      </c>
      <c r="D21" s="2">
        <v>0</v>
      </c>
      <c r="E21" s="2">
        <v>0</v>
      </c>
      <c r="F21" s="7">
        <v>1</v>
      </c>
      <c r="G21" s="7" t="s">
        <v>247</v>
      </c>
      <c r="H21" s="7" t="s">
        <v>248</v>
      </c>
      <c r="I21" s="7" t="s">
        <v>242</v>
      </c>
      <c r="J21" s="2" t="s">
        <v>251</v>
      </c>
    </row>
    <row r="22" spans="1:10" ht="25.05" customHeight="1">
      <c r="A22" s="2" t="s">
        <v>199</v>
      </c>
      <c r="B22" s="2" t="s">
        <v>245</v>
      </c>
      <c r="C22" s="2" t="s">
        <v>246</v>
      </c>
      <c r="D22" s="2">
        <v>0</v>
      </c>
      <c r="E22" s="2">
        <v>0</v>
      </c>
      <c r="F22" s="7">
        <v>1</v>
      </c>
      <c r="G22" s="7" t="s">
        <v>247</v>
      </c>
      <c r="H22" s="7" t="s">
        <v>248</v>
      </c>
      <c r="I22" s="7" t="s">
        <v>242</v>
      </c>
      <c r="J22" s="2" t="s">
        <v>251</v>
      </c>
    </row>
    <row r="23" spans="1:10" ht="25.05" customHeight="1">
      <c r="A23" s="2" t="s">
        <v>201</v>
      </c>
      <c r="B23" s="2" t="s">
        <v>245</v>
      </c>
      <c r="C23" s="2" t="s">
        <v>246</v>
      </c>
      <c r="D23" s="2">
        <v>0</v>
      </c>
      <c r="E23" s="2">
        <v>0</v>
      </c>
      <c r="F23" s="7">
        <v>1</v>
      </c>
      <c r="G23" s="7" t="s">
        <v>247</v>
      </c>
      <c r="H23" s="7" t="s">
        <v>248</v>
      </c>
      <c r="I23" s="7" t="s">
        <v>242</v>
      </c>
      <c r="J23" s="2" t="s">
        <v>251</v>
      </c>
    </row>
    <row r="24" spans="1:10" ht="25.05" customHeight="1">
      <c r="A24" s="2" t="s">
        <v>203</v>
      </c>
      <c r="B24" s="2" t="s">
        <v>245</v>
      </c>
      <c r="C24" s="2" t="s">
        <v>246</v>
      </c>
      <c r="D24" s="2">
        <v>0</v>
      </c>
      <c r="E24" s="2">
        <v>0</v>
      </c>
      <c r="F24" s="7">
        <v>1</v>
      </c>
      <c r="G24" s="7" t="s">
        <v>247</v>
      </c>
      <c r="H24" s="7" t="s">
        <v>248</v>
      </c>
      <c r="I24" s="7" t="s">
        <v>242</v>
      </c>
      <c r="J24" s="2" t="s">
        <v>251</v>
      </c>
    </row>
    <row r="25" spans="1:10" ht="25.05" customHeight="1">
      <c r="A25" s="2" t="s">
        <v>205</v>
      </c>
      <c r="B25" s="2" t="s">
        <v>245</v>
      </c>
      <c r="C25" s="2" t="s">
        <v>246</v>
      </c>
      <c r="D25" s="2">
        <v>0</v>
      </c>
      <c r="E25" s="2">
        <v>0</v>
      </c>
      <c r="F25" s="7">
        <v>1</v>
      </c>
      <c r="G25" s="7" t="s">
        <v>247</v>
      </c>
      <c r="H25" s="7" t="s">
        <v>248</v>
      </c>
      <c r="I25" s="7" t="s">
        <v>242</v>
      </c>
      <c r="J25" s="2" t="s">
        <v>251</v>
      </c>
    </row>
    <row r="26" spans="1:10" ht="25.05" customHeight="1">
      <c r="A26" s="2" t="s">
        <v>207</v>
      </c>
      <c r="B26" s="2" t="s">
        <v>252</v>
      </c>
      <c r="C26" s="2" t="s">
        <v>253</v>
      </c>
      <c r="D26" s="2">
        <v>0</v>
      </c>
      <c r="E26" s="2">
        <v>0</v>
      </c>
      <c r="F26" s="7">
        <v>1</v>
      </c>
      <c r="G26" s="7" t="s">
        <v>247</v>
      </c>
      <c r="H26" s="7" t="s">
        <v>247</v>
      </c>
      <c r="I26" s="7" t="s">
        <v>247</v>
      </c>
      <c r="J26" s="2" t="s">
        <v>254</v>
      </c>
    </row>
    <row r="27" spans="1:10" ht="25.05" customHeight="1">
      <c r="A27" s="2" t="s">
        <v>209</v>
      </c>
      <c r="B27" s="2" t="s">
        <v>252</v>
      </c>
      <c r="C27" s="2" t="s">
        <v>253</v>
      </c>
      <c r="D27" s="2">
        <v>0</v>
      </c>
      <c r="E27" s="2">
        <v>0</v>
      </c>
      <c r="F27" s="7">
        <v>1</v>
      </c>
      <c r="G27" s="7" t="s">
        <v>247</v>
      </c>
      <c r="H27" s="7" t="s">
        <v>247</v>
      </c>
      <c r="I27" s="7" t="s">
        <v>247</v>
      </c>
      <c r="J27" s="2" t="s">
        <v>254</v>
      </c>
    </row>
    <row r="28" spans="1:10" ht="25.05" customHeight="1">
      <c r="A28" s="2" t="s">
        <v>211</v>
      </c>
      <c r="B28" s="2" t="s">
        <v>252</v>
      </c>
      <c r="C28" s="2" t="s">
        <v>253</v>
      </c>
      <c r="D28" s="2">
        <v>0</v>
      </c>
      <c r="E28" s="2">
        <v>0</v>
      </c>
      <c r="F28" s="7">
        <v>1</v>
      </c>
      <c r="G28" s="7" t="s">
        <v>247</v>
      </c>
      <c r="H28" s="7" t="s">
        <v>247</v>
      </c>
      <c r="I28" s="7" t="s">
        <v>247</v>
      </c>
      <c r="J28" s="2" t="s">
        <v>254</v>
      </c>
    </row>
    <row r="29" spans="1:10" ht="25.05" customHeight="1">
      <c r="A29" s="2" t="s">
        <v>213</v>
      </c>
      <c r="B29" s="2" t="s">
        <v>252</v>
      </c>
      <c r="C29" s="2" t="s">
        <v>253</v>
      </c>
      <c r="D29" s="2">
        <v>0</v>
      </c>
      <c r="E29" s="2">
        <v>0</v>
      </c>
      <c r="F29" s="7">
        <v>1</v>
      </c>
      <c r="G29" s="7" t="s">
        <v>247</v>
      </c>
      <c r="H29" s="7" t="s">
        <v>247</v>
      </c>
      <c r="I29" s="7" t="s">
        <v>247</v>
      </c>
      <c r="J29" s="2" t="s">
        <v>254</v>
      </c>
    </row>
    <row r="30" spans="1:10" ht="25.05" customHeight="1">
      <c r="A30" s="2" t="s">
        <v>215</v>
      </c>
      <c r="B30" s="2" t="s">
        <v>252</v>
      </c>
      <c r="C30" s="2" t="s">
        <v>253</v>
      </c>
      <c r="D30" s="2">
        <v>0</v>
      </c>
      <c r="E30" s="2">
        <v>0</v>
      </c>
      <c r="F30" s="7">
        <v>1</v>
      </c>
      <c r="G30" s="7" t="s">
        <v>247</v>
      </c>
      <c r="H30" s="7" t="s">
        <v>247</v>
      </c>
      <c r="I30" s="7" t="s">
        <v>247</v>
      </c>
      <c r="J30" s="2" t="s">
        <v>254</v>
      </c>
    </row>
    <row r="31" spans="1:10" ht="25.05" customHeight="1">
      <c r="A31" s="2" t="s">
        <v>217</v>
      </c>
      <c r="B31" s="2" t="s">
        <v>252</v>
      </c>
      <c r="C31" s="2" t="s">
        <v>253</v>
      </c>
      <c r="D31" s="2">
        <v>0</v>
      </c>
      <c r="E31" s="2">
        <v>0</v>
      </c>
      <c r="F31" s="7">
        <v>1</v>
      </c>
      <c r="G31" s="7" t="s">
        <v>247</v>
      </c>
      <c r="H31" s="7" t="s">
        <v>247</v>
      </c>
      <c r="I31" s="7" t="s">
        <v>247</v>
      </c>
      <c r="J31" s="2" t="s">
        <v>254</v>
      </c>
    </row>
    <row r="32" spans="1:10" ht="25.05" customHeight="1">
      <c r="A32" s="2" t="s">
        <v>219</v>
      </c>
      <c r="B32" s="2" t="s">
        <v>252</v>
      </c>
      <c r="C32" s="2" t="s">
        <v>253</v>
      </c>
      <c r="D32" s="2">
        <v>0</v>
      </c>
      <c r="E32" s="2">
        <v>0</v>
      </c>
      <c r="F32" s="7">
        <v>1</v>
      </c>
      <c r="G32" s="7" t="s">
        <v>247</v>
      </c>
      <c r="H32" s="7" t="s">
        <v>247</v>
      </c>
      <c r="I32" s="7" t="s">
        <v>247</v>
      </c>
      <c r="J32" s="2" t="s">
        <v>255</v>
      </c>
    </row>
    <row r="33" spans="1:10" ht="25.05" customHeight="1">
      <c r="A33" s="2" t="s">
        <v>221</v>
      </c>
      <c r="B33" s="2" t="s">
        <v>252</v>
      </c>
      <c r="C33" s="2" t="s">
        <v>253</v>
      </c>
      <c r="D33" s="2">
        <v>0</v>
      </c>
      <c r="E33" s="2">
        <v>0</v>
      </c>
      <c r="F33" s="7">
        <v>1</v>
      </c>
      <c r="G33" s="7" t="s">
        <v>247</v>
      </c>
      <c r="H33" s="7" t="s">
        <v>247</v>
      </c>
      <c r="I33" s="7" t="s">
        <v>247</v>
      </c>
      <c r="J33" s="2" t="s">
        <v>255</v>
      </c>
    </row>
    <row r="34" spans="1:10" ht="25.05" customHeight="1">
      <c r="A34" s="2" t="s">
        <v>223</v>
      </c>
      <c r="B34" s="2" t="s">
        <v>252</v>
      </c>
      <c r="C34" s="2" t="s">
        <v>253</v>
      </c>
      <c r="D34" s="2">
        <v>0</v>
      </c>
      <c r="E34" s="2">
        <v>0</v>
      </c>
      <c r="F34" s="7">
        <v>1</v>
      </c>
      <c r="G34" s="7" t="s">
        <v>247</v>
      </c>
      <c r="H34" s="7" t="s">
        <v>247</v>
      </c>
      <c r="I34" s="7" t="s">
        <v>247</v>
      </c>
      <c r="J34" s="2" t="s">
        <v>255</v>
      </c>
    </row>
    <row r="35" spans="1:10" ht="25.05" customHeight="1">
      <c r="A35" s="2" t="s">
        <v>225</v>
      </c>
      <c r="B35" s="2" t="s">
        <v>252</v>
      </c>
      <c r="C35" s="2" t="s">
        <v>253</v>
      </c>
      <c r="D35" s="2">
        <v>0</v>
      </c>
      <c r="E35" s="2">
        <v>0</v>
      </c>
      <c r="F35" s="7">
        <v>1</v>
      </c>
      <c r="G35" s="7" t="s">
        <v>247</v>
      </c>
      <c r="H35" s="7" t="s">
        <v>247</v>
      </c>
      <c r="I35" s="7" t="s">
        <v>247</v>
      </c>
      <c r="J35" s="2" t="s">
        <v>255</v>
      </c>
    </row>
    <row r="36" spans="1:10" ht="25.05" customHeight="1">
      <c r="A36" s="2" t="s">
        <v>227</v>
      </c>
      <c r="B36" s="2" t="s">
        <v>252</v>
      </c>
      <c r="C36" s="2" t="s">
        <v>253</v>
      </c>
      <c r="D36" s="2">
        <v>0</v>
      </c>
      <c r="E36" s="2">
        <v>0</v>
      </c>
      <c r="F36" s="7">
        <v>1</v>
      </c>
      <c r="G36" s="7" t="s">
        <v>247</v>
      </c>
      <c r="H36" s="7" t="s">
        <v>247</v>
      </c>
      <c r="I36" s="7" t="s">
        <v>247</v>
      </c>
      <c r="J36" s="2" t="s">
        <v>255</v>
      </c>
    </row>
    <row r="37" spans="1:10" ht="25.05" customHeight="1">
      <c r="A37" s="2" t="s">
        <v>229</v>
      </c>
      <c r="B37" s="2" t="s">
        <v>252</v>
      </c>
      <c r="C37" s="2" t="s">
        <v>253</v>
      </c>
      <c r="D37" s="2">
        <v>0</v>
      </c>
      <c r="E37" s="2">
        <v>0</v>
      </c>
      <c r="F37" s="7">
        <v>1</v>
      </c>
      <c r="G37" s="7" t="s">
        <v>247</v>
      </c>
      <c r="H37" s="7" t="s">
        <v>247</v>
      </c>
      <c r="I37" s="7" t="s">
        <v>247</v>
      </c>
      <c r="J37" s="2" t="s">
        <v>255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7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3.8"/>
  <cols>
    <col min="1" max="1" width="23" customWidth="1"/>
    <col min="2" max="3" width="14" customWidth="1"/>
    <col min="4" max="4" width="20" customWidth="1"/>
    <col min="5" max="5" width="21" customWidth="1"/>
  </cols>
  <sheetData>
    <row r="1" spans="1:5" ht="36" customHeight="1">
      <c r="A1" s="3" t="s">
        <v>256</v>
      </c>
      <c r="B1" s="3" t="s">
        <v>257</v>
      </c>
      <c r="C1" s="3" t="s">
        <v>258</v>
      </c>
      <c r="D1" s="3" t="s">
        <v>259</v>
      </c>
      <c r="E1" s="3" t="s">
        <v>260</v>
      </c>
    </row>
    <row r="2" spans="1:5" ht="25.05" customHeight="1">
      <c r="A2" s="2" t="s">
        <v>261</v>
      </c>
      <c r="B2" s="2" t="s">
        <v>95</v>
      </c>
      <c r="C2" s="2" t="s">
        <v>96</v>
      </c>
      <c r="D2" s="2">
        <v>2</v>
      </c>
      <c r="E2" s="2">
        <v>0</v>
      </c>
    </row>
    <row r="3" spans="1:5" ht="25.05" customHeight="1">
      <c r="A3" s="2" t="s">
        <v>262</v>
      </c>
      <c r="B3" s="2" t="s">
        <v>95</v>
      </c>
      <c r="C3" s="2" t="s">
        <v>97</v>
      </c>
      <c r="D3" s="2">
        <v>3</v>
      </c>
      <c r="E3" s="2">
        <v>2</v>
      </c>
    </row>
    <row r="4" spans="1:5" ht="25.05" customHeight="1">
      <c r="A4" s="2" t="s">
        <v>263</v>
      </c>
      <c r="B4" s="2" t="s">
        <v>95</v>
      </c>
      <c r="C4" s="2" t="s">
        <v>167</v>
      </c>
      <c r="D4" s="2">
        <v>3</v>
      </c>
      <c r="E4" s="2">
        <v>2</v>
      </c>
    </row>
    <row r="5" spans="1:5" ht="25.05" customHeight="1">
      <c r="A5" s="2" t="s">
        <v>264</v>
      </c>
      <c r="B5" s="2" t="s">
        <v>95</v>
      </c>
      <c r="C5" s="2" t="s">
        <v>173</v>
      </c>
      <c r="D5" s="2">
        <v>2</v>
      </c>
      <c r="E5" s="2">
        <v>0</v>
      </c>
    </row>
    <row r="6" spans="1:5" ht="25.05" customHeight="1">
      <c r="A6" s="2" t="s">
        <v>265</v>
      </c>
      <c r="B6" s="2" t="s">
        <v>95</v>
      </c>
      <c r="C6" s="2" t="s">
        <v>179</v>
      </c>
      <c r="D6" s="2">
        <v>2</v>
      </c>
      <c r="E6" s="2">
        <v>0</v>
      </c>
    </row>
    <row r="7" spans="1:5" ht="25.05" customHeight="1">
      <c r="A7" s="2" t="s">
        <v>266</v>
      </c>
      <c r="B7" s="2" t="s">
        <v>95</v>
      </c>
      <c r="C7" s="2" t="s">
        <v>181</v>
      </c>
      <c r="D7" s="2">
        <v>-1</v>
      </c>
      <c r="E7" s="2">
        <v>0</v>
      </c>
    </row>
    <row r="8" spans="1:5" ht="25.05" customHeight="1">
      <c r="A8" s="2" t="s">
        <v>267</v>
      </c>
      <c r="B8" s="2" t="s">
        <v>95</v>
      </c>
      <c r="C8" s="2" t="s">
        <v>189</v>
      </c>
      <c r="D8" s="2">
        <v>2</v>
      </c>
      <c r="E8" s="2">
        <v>0</v>
      </c>
    </row>
    <row r="9" spans="1:5" ht="25.05" customHeight="1">
      <c r="A9" s="2" t="s">
        <v>268</v>
      </c>
      <c r="B9" s="2" t="s">
        <v>95</v>
      </c>
      <c r="C9" s="2" t="s">
        <v>195</v>
      </c>
      <c r="D9" s="2">
        <v>0</v>
      </c>
      <c r="E9" s="2">
        <v>1</v>
      </c>
    </row>
    <row r="10" spans="1:5" ht="25.05" customHeight="1">
      <c r="A10" s="2" t="s">
        <v>269</v>
      </c>
      <c r="B10" s="2" t="s">
        <v>95</v>
      </c>
      <c r="C10" s="2" t="s">
        <v>197</v>
      </c>
      <c r="D10" s="2">
        <v>0</v>
      </c>
      <c r="E10" s="2">
        <v>1</v>
      </c>
    </row>
    <row r="11" spans="1:5" ht="25.05" customHeight="1">
      <c r="A11" s="2" t="s">
        <v>270</v>
      </c>
      <c r="B11" s="2" t="s">
        <v>95</v>
      </c>
      <c r="C11" s="2" t="s">
        <v>199</v>
      </c>
      <c r="D11" s="2">
        <v>2</v>
      </c>
      <c r="E11" s="2">
        <v>2</v>
      </c>
    </row>
    <row r="12" spans="1:5" ht="25.05" customHeight="1">
      <c r="A12" s="2" t="s">
        <v>271</v>
      </c>
      <c r="B12" s="2" t="s">
        <v>95</v>
      </c>
      <c r="C12" s="2" t="s">
        <v>201</v>
      </c>
      <c r="D12" s="2">
        <v>2</v>
      </c>
      <c r="E12" s="2">
        <v>2</v>
      </c>
    </row>
    <row r="13" spans="1:5" ht="25.05" customHeight="1">
      <c r="A13" s="2" t="s">
        <v>272</v>
      </c>
      <c r="B13" s="2" t="s">
        <v>95</v>
      </c>
      <c r="C13" s="2" t="s">
        <v>203</v>
      </c>
      <c r="D13" s="2">
        <v>0</v>
      </c>
      <c r="E13" s="2">
        <v>1</v>
      </c>
    </row>
    <row r="14" spans="1:5" ht="25.05" customHeight="1">
      <c r="A14" s="2" t="s">
        <v>273</v>
      </c>
      <c r="B14" s="2" t="s">
        <v>95</v>
      </c>
      <c r="C14" s="2" t="s">
        <v>205</v>
      </c>
      <c r="D14" s="2">
        <v>-3</v>
      </c>
      <c r="E14" s="2">
        <v>-2</v>
      </c>
    </row>
    <row r="15" spans="1:5" ht="25.05" customHeight="1">
      <c r="A15" s="2" t="s">
        <v>274</v>
      </c>
      <c r="B15" s="2" t="s">
        <v>95</v>
      </c>
      <c r="C15" s="2" t="s">
        <v>207</v>
      </c>
      <c r="D15" s="2">
        <v>1</v>
      </c>
      <c r="E15" s="2">
        <v>0</v>
      </c>
    </row>
    <row r="16" spans="1:5" ht="25.05" customHeight="1">
      <c r="A16" s="2" t="s">
        <v>275</v>
      </c>
      <c r="B16" s="2" t="s">
        <v>95</v>
      </c>
      <c r="C16" s="2" t="s">
        <v>223</v>
      </c>
      <c r="D16" s="2">
        <v>2</v>
      </c>
      <c r="E16" s="2">
        <v>0</v>
      </c>
    </row>
    <row r="17" spans="1:5" ht="25.05" customHeight="1">
      <c r="A17" s="2" t="s">
        <v>276</v>
      </c>
      <c r="B17" s="2" t="s">
        <v>96</v>
      </c>
      <c r="C17" s="2" t="s">
        <v>165</v>
      </c>
      <c r="D17" s="2">
        <v>3</v>
      </c>
      <c r="E17" s="2">
        <v>2</v>
      </c>
    </row>
    <row r="18" spans="1:5" ht="25.05" customHeight="1">
      <c r="A18" s="2" t="s">
        <v>277</v>
      </c>
      <c r="B18" s="2" t="s">
        <v>96</v>
      </c>
      <c r="C18" s="2" t="s">
        <v>169</v>
      </c>
      <c r="D18" s="2">
        <v>2</v>
      </c>
      <c r="E18" s="2">
        <v>2</v>
      </c>
    </row>
    <row r="19" spans="1:5" ht="25.05" customHeight="1">
      <c r="A19" s="2" t="s">
        <v>278</v>
      </c>
      <c r="B19" s="2" t="s">
        <v>96</v>
      </c>
      <c r="C19" s="2" t="s">
        <v>171</v>
      </c>
      <c r="D19" s="2">
        <v>2</v>
      </c>
      <c r="E19" s="2">
        <v>0</v>
      </c>
    </row>
    <row r="20" spans="1:5" ht="25.05" customHeight="1">
      <c r="A20" s="2" t="s">
        <v>279</v>
      </c>
      <c r="B20" s="2" t="s">
        <v>96</v>
      </c>
      <c r="C20" s="2" t="s">
        <v>177</v>
      </c>
      <c r="D20" s="2">
        <v>2</v>
      </c>
      <c r="E20" s="2">
        <v>0</v>
      </c>
    </row>
    <row r="21" spans="1:5" ht="25.05" customHeight="1">
      <c r="A21" s="2" t="s">
        <v>280</v>
      </c>
      <c r="B21" s="2" t="s">
        <v>96</v>
      </c>
      <c r="C21" s="2" t="s">
        <v>181</v>
      </c>
      <c r="D21" s="2">
        <v>-2</v>
      </c>
      <c r="E21" s="2">
        <v>-1</v>
      </c>
    </row>
    <row r="22" spans="1:5" ht="25.05" customHeight="1">
      <c r="A22" s="2" t="s">
        <v>281</v>
      </c>
      <c r="B22" s="2" t="s">
        <v>96</v>
      </c>
      <c r="C22" s="2" t="s">
        <v>195</v>
      </c>
      <c r="D22" s="2">
        <v>0</v>
      </c>
      <c r="E22" s="2">
        <v>1</v>
      </c>
    </row>
    <row r="23" spans="1:5" ht="25.05" customHeight="1">
      <c r="A23" s="2" t="s">
        <v>282</v>
      </c>
      <c r="B23" s="2" t="s">
        <v>96</v>
      </c>
      <c r="C23" s="2" t="s">
        <v>197</v>
      </c>
      <c r="D23" s="2">
        <v>0</v>
      </c>
      <c r="E23" s="2">
        <v>1</v>
      </c>
    </row>
    <row r="24" spans="1:5" ht="25.05" customHeight="1">
      <c r="A24" s="2" t="s">
        <v>283</v>
      </c>
      <c r="B24" s="2" t="s">
        <v>96</v>
      </c>
      <c r="C24" s="2" t="s">
        <v>199</v>
      </c>
      <c r="D24" s="2">
        <v>2</v>
      </c>
      <c r="E24" s="2">
        <v>2</v>
      </c>
    </row>
    <row r="25" spans="1:5" ht="25.05" customHeight="1">
      <c r="A25" s="2" t="s">
        <v>284</v>
      </c>
      <c r="B25" s="2" t="s">
        <v>96</v>
      </c>
      <c r="C25" s="2" t="s">
        <v>201</v>
      </c>
      <c r="D25" s="2">
        <v>2</v>
      </c>
      <c r="E25" s="2">
        <v>2</v>
      </c>
    </row>
    <row r="26" spans="1:5" ht="25.05" customHeight="1">
      <c r="A26" s="2" t="s">
        <v>285</v>
      </c>
      <c r="B26" s="2" t="s">
        <v>96</v>
      </c>
      <c r="C26" s="2" t="s">
        <v>203</v>
      </c>
      <c r="D26" s="2">
        <v>0</v>
      </c>
      <c r="E26" s="2">
        <v>1</v>
      </c>
    </row>
    <row r="27" spans="1:5" ht="25.05" customHeight="1">
      <c r="A27" s="2" t="s">
        <v>286</v>
      </c>
      <c r="B27" s="2" t="s">
        <v>96</v>
      </c>
      <c r="C27" s="2" t="s">
        <v>205</v>
      </c>
      <c r="D27" s="2">
        <v>-3</v>
      </c>
      <c r="E27" s="2">
        <v>-2</v>
      </c>
    </row>
    <row r="28" spans="1:5" ht="25.05" customHeight="1">
      <c r="A28" s="2" t="s">
        <v>287</v>
      </c>
      <c r="B28" s="2" t="s">
        <v>97</v>
      </c>
      <c r="C28" s="2" t="s">
        <v>167</v>
      </c>
      <c r="D28" s="2">
        <v>3</v>
      </c>
      <c r="E28" s="2">
        <v>0</v>
      </c>
    </row>
    <row r="29" spans="1:5" ht="25.05" customHeight="1">
      <c r="A29" s="2" t="s">
        <v>288</v>
      </c>
      <c r="B29" s="2" t="s">
        <v>97</v>
      </c>
      <c r="C29" s="2" t="s">
        <v>173</v>
      </c>
      <c r="D29" s="2">
        <v>2</v>
      </c>
      <c r="E29" s="2">
        <v>0</v>
      </c>
    </row>
    <row r="30" spans="1:5" ht="25.05" customHeight="1">
      <c r="A30" s="2" t="s">
        <v>289</v>
      </c>
      <c r="B30" s="2" t="s">
        <v>97</v>
      </c>
      <c r="C30" s="2" t="s">
        <v>179</v>
      </c>
      <c r="D30" s="2">
        <v>2</v>
      </c>
      <c r="E30" s="2">
        <v>0</v>
      </c>
    </row>
    <row r="31" spans="1:5" ht="25.05" customHeight="1">
      <c r="A31" s="2" t="s">
        <v>290</v>
      </c>
      <c r="B31" s="2" t="s">
        <v>97</v>
      </c>
      <c r="C31" s="2" t="s">
        <v>181</v>
      </c>
      <c r="D31" s="2">
        <v>-1</v>
      </c>
      <c r="E31" s="2">
        <v>0</v>
      </c>
    </row>
    <row r="32" spans="1:5" ht="25.05" customHeight="1">
      <c r="A32" s="2" t="s">
        <v>291</v>
      </c>
      <c r="B32" s="2" t="s">
        <v>97</v>
      </c>
      <c r="C32" s="2" t="s">
        <v>183</v>
      </c>
      <c r="D32" s="2">
        <v>1</v>
      </c>
      <c r="E32" s="2">
        <v>0</v>
      </c>
    </row>
    <row r="33" spans="1:5" ht="25.05" customHeight="1">
      <c r="A33" s="2" t="s">
        <v>292</v>
      </c>
      <c r="B33" s="2" t="s">
        <v>97</v>
      </c>
      <c r="C33" s="2" t="s">
        <v>185</v>
      </c>
      <c r="D33" s="2">
        <v>1</v>
      </c>
      <c r="E33" s="2">
        <v>0</v>
      </c>
    </row>
    <row r="34" spans="1:5" ht="25.05" customHeight="1">
      <c r="A34" s="2" t="s">
        <v>293</v>
      </c>
      <c r="B34" s="2" t="s">
        <v>97</v>
      </c>
      <c r="C34" s="2" t="s">
        <v>189</v>
      </c>
      <c r="D34" s="2">
        <v>3</v>
      </c>
      <c r="E34" s="2">
        <v>1</v>
      </c>
    </row>
    <row r="35" spans="1:5" ht="25.05" customHeight="1">
      <c r="A35" s="2" t="s">
        <v>294</v>
      </c>
      <c r="B35" s="2" t="s">
        <v>97</v>
      </c>
      <c r="C35" s="2" t="s">
        <v>195</v>
      </c>
      <c r="D35" s="2">
        <v>0</v>
      </c>
      <c r="E35" s="2">
        <v>1</v>
      </c>
    </row>
    <row r="36" spans="1:5" ht="25.05" customHeight="1">
      <c r="A36" s="2" t="s">
        <v>295</v>
      </c>
      <c r="B36" s="2" t="s">
        <v>97</v>
      </c>
      <c r="C36" s="2" t="s">
        <v>197</v>
      </c>
      <c r="D36" s="2">
        <v>0</v>
      </c>
      <c r="E36" s="2">
        <v>1</v>
      </c>
    </row>
    <row r="37" spans="1:5" ht="25.05" customHeight="1">
      <c r="A37" s="2" t="s">
        <v>296</v>
      </c>
      <c r="B37" s="2" t="s">
        <v>97</v>
      </c>
      <c r="C37" s="2" t="s">
        <v>199</v>
      </c>
      <c r="D37" s="2">
        <v>2</v>
      </c>
      <c r="E37" s="2">
        <v>2</v>
      </c>
    </row>
    <row r="38" spans="1:5" ht="25.05" customHeight="1">
      <c r="A38" s="2" t="s">
        <v>297</v>
      </c>
      <c r="B38" s="2" t="s">
        <v>97</v>
      </c>
      <c r="C38" s="2" t="s">
        <v>201</v>
      </c>
      <c r="D38" s="2">
        <v>2</v>
      </c>
      <c r="E38" s="2">
        <v>2</v>
      </c>
    </row>
    <row r="39" spans="1:5" ht="25.05" customHeight="1">
      <c r="A39" s="2" t="s">
        <v>298</v>
      </c>
      <c r="B39" s="2" t="s">
        <v>97</v>
      </c>
      <c r="C39" s="2" t="s">
        <v>203</v>
      </c>
      <c r="D39" s="2">
        <v>0</v>
      </c>
      <c r="E39" s="2">
        <v>1</v>
      </c>
    </row>
    <row r="40" spans="1:5" ht="25.05" customHeight="1">
      <c r="A40" s="2" t="s">
        <v>299</v>
      </c>
      <c r="B40" s="2" t="s">
        <v>97</v>
      </c>
      <c r="C40" s="2" t="s">
        <v>205</v>
      </c>
      <c r="D40" s="2">
        <v>-3</v>
      </c>
      <c r="E40" s="2">
        <v>-2</v>
      </c>
    </row>
    <row r="41" spans="1:5" ht="25.05" customHeight="1">
      <c r="A41" s="2" t="s">
        <v>300</v>
      </c>
      <c r="B41" s="2" t="s">
        <v>97</v>
      </c>
      <c r="C41" s="2" t="s">
        <v>207</v>
      </c>
      <c r="D41" s="2">
        <v>1</v>
      </c>
      <c r="E41" s="2">
        <v>0</v>
      </c>
    </row>
    <row r="42" spans="1:5" ht="25.05" customHeight="1">
      <c r="A42" s="2" t="s">
        <v>301</v>
      </c>
      <c r="B42" s="2" t="s">
        <v>97</v>
      </c>
      <c r="C42" s="2" t="s">
        <v>211</v>
      </c>
      <c r="D42" s="2">
        <v>1</v>
      </c>
      <c r="E42" s="2">
        <v>0</v>
      </c>
    </row>
    <row r="43" spans="1:5" ht="25.05" customHeight="1">
      <c r="A43" s="2" t="s">
        <v>302</v>
      </c>
      <c r="B43" s="2" t="s">
        <v>97</v>
      </c>
      <c r="C43" s="2" t="s">
        <v>223</v>
      </c>
      <c r="D43" s="2">
        <v>2</v>
      </c>
      <c r="E43" s="2">
        <v>0</v>
      </c>
    </row>
    <row r="44" spans="1:5" ht="25.05" customHeight="1">
      <c r="A44" s="2" t="s">
        <v>303</v>
      </c>
      <c r="B44" s="2" t="s">
        <v>97</v>
      </c>
      <c r="C44" s="2" t="s">
        <v>225</v>
      </c>
      <c r="D44" s="2">
        <v>2</v>
      </c>
      <c r="E44" s="2">
        <v>0</v>
      </c>
    </row>
    <row r="45" spans="1:5" ht="25.05" customHeight="1">
      <c r="A45" s="2" t="s">
        <v>304</v>
      </c>
      <c r="B45" s="2" t="s">
        <v>165</v>
      </c>
      <c r="C45" s="2" t="s">
        <v>169</v>
      </c>
      <c r="D45" s="2">
        <v>3</v>
      </c>
      <c r="E45" s="2">
        <v>2</v>
      </c>
    </row>
    <row r="46" spans="1:5" ht="25.05" customHeight="1">
      <c r="A46" s="2" t="s">
        <v>305</v>
      </c>
      <c r="B46" s="2" t="s">
        <v>165</v>
      </c>
      <c r="C46" s="2" t="s">
        <v>171</v>
      </c>
      <c r="D46" s="2">
        <v>2</v>
      </c>
      <c r="E46" s="2">
        <v>0</v>
      </c>
    </row>
    <row r="47" spans="1:5" ht="25.05" customHeight="1">
      <c r="A47" s="2" t="s">
        <v>306</v>
      </c>
      <c r="B47" s="2" t="s">
        <v>165</v>
      </c>
      <c r="C47" s="2" t="s">
        <v>177</v>
      </c>
      <c r="D47" s="2">
        <v>2</v>
      </c>
      <c r="E47" s="2">
        <v>0</v>
      </c>
    </row>
    <row r="48" spans="1:5" ht="25.05" customHeight="1">
      <c r="A48" s="2" t="s">
        <v>307</v>
      </c>
      <c r="B48" s="2" t="s">
        <v>165</v>
      </c>
      <c r="C48" s="2" t="s">
        <v>181</v>
      </c>
      <c r="D48" s="2">
        <v>-2</v>
      </c>
      <c r="E48" s="2">
        <v>-1</v>
      </c>
    </row>
    <row r="49" spans="1:5" ht="25.05" customHeight="1">
      <c r="A49" s="2" t="s">
        <v>308</v>
      </c>
      <c r="B49" s="2" t="s">
        <v>165</v>
      </c>
      <c r="C49" s="2" t="s">
        <v>195</v>
      </c>
      <c r="D49" s="2">
        <v>0</v>
      </c>
      <c r="E49" s="2">
        <v>1</v>
      </c>
    </row>
    <row r="50" spans="1:5" ht="25.05" customHeight="1">
      <c r="A50" s="2" t="s">
        <v>309</v>
      </c>
      <c r="B50" s="2" t="s">
        <v>165</v>
      </c>
      <c r="C50" s="2" t="s">
        <v>197</v>
      </c>
      <c r="D50" s="2">
        <v>0</v>
      </c>
      <c r="E50" s="2">
        <v>1</v>
      </c>
    </row>
    <row r="51" spans="1:5" ht="25.05" customHeight="1">
      <c r="A51" s="2" t="s">
        <v>310</v>
      </c>
      <c r="B51" s="2" t="s">
        <v>165</v>
      </c>
      <c r="C51" s="2" t="s">
        <v>199</v>
      </c>
      <c r="D51" s="2">
        <v>2</v>
      </c>
      <c r="E51" s="2">
        <v>2</v>
      </c>
    </row>
    <row r="52" spans="1:5" ht="25.05" customHeight="1">
      <c r="A52" s="2" t="s">
        <v>311</v>
      </c>
      <c r="B52" s="2" t="s">
        <v>165</v>
      </c>
      <c r="C52" s="2" t="s">
        <v>201</v>
      </c>
      <c r="D52" s="2">
        <v>2</v>
      </c>
      <c r="E52" s="2">
        <v>2</v>
      </c>
    </row>
    <row r="53" spans="1:5" ht="25.05" customHeight="1">
      <c r="A53" s="2" t="s">
        <v>312</v>
      </c>
      <c r="B53" s="2" t="s">
        <v>165</v>
      </c>
      <c r="C53" s="2" t="s">
        <v>203</v>
      </c>
      <c r="D53" s="2">
        <v>0</v>
      </c>
      <c r="E53" s="2">
        <v>1</v>
      </c>
    </row>
    <row r="54" spans="1:5" ht="25.05" customHeight="1">
      <c r="A54" s="2" t="s">
        <v>313</v>
      </c>
      <c r="B54" s="2" t="s">
        <v>165</v>
      </c>
      <c r="C54" s="2" t="s">
        <v>205</v>
      </c>
      <c r="D54" s="2">
        <v>-3</v>
      </c>
      <c r="E54" s="2">
        <v>-2</v>
      </c>
    </row>
    <row r="55" spans="1:5" ht="25.05" customHeight="1">
      <c r="A55" s="2" t="s">
        <v>314</v>
      </c>
      <c r="B55" s="2" t="s">
        <v>167</v>
      </c>
      <c r="C55" s="2" t="s">
        <v>181</v>
      </c>
      <c r="D55" s="2">
        <v>-1</v>
      </c>
      <c r="E55" s="2">
        <v>0</v>
      </c>
    </row>
    <row r="56" spans="1:5" ht="25.05" customHeight="1">
      <c r="A56" s="2" t="s">
        <v>315</v>
      </c>
      <c r="B56" s="2" t="s">
        <v>167</v>
      </c>
      <c r="C56" s="2" t="s">
        <v>183</v>
      </c>
      <c r="D56" s="2">
        <v>1</v>
      </c>
      <c r="E56" s="2">
        <v>0</v>
      </c>
    </row>
    <row r="57" spans="1:5" ht="25.05" customHeight="1">
      <c r="A57" s="2" t="s">
        <v>316</v>
      </c>
      <c r="B57" s="2" t="s">
        <v>167</v>
      </c>
      <c r="C57" s="2" t="s">
        <v>185</v>
      </c>
      <c r="D57" s="2">
        <v>1</v>
      </c>
      <c r="E57" s="2">
        <v>0</v>
      </c>
    </row>
    <row r="58" spans="1:5" ht="25.05" customHeight="1">
      <c r="A58" s="2" t="s">
        <v>317</v>
      </c>
      <c r="B58" s="2" t="s">
        <v>167</v>
      </c>
      <c r="C58" s="2" t="s">
        <v>189</v>
      </c>
      <c r="D58" s="2">
        <v>3</v>
      </c>
      <c r="E58" s="2">
        <v>1</v>
      </c>
    </row>
    <row r="59" spans="1:5" ht="25.05" customHeight="1">
      <c r="A59" s="2" t="s">
        <v>318</v>
      </c>
      <c r="B59" s="2" t="s">
        <v>167</v>
      </c>
      <c r="C59" s="2" t="s">
        <v>195</v>
      </c>
      <c r="D59" s="2">
        <v>0</v>
      </c>
      <c r="E59" s="2">
        <v>1</v>
      </c>
    </row>
    <row r="60" spans="1:5" ht="25.05" customHeight="1">
      <c r="A60" s="2" t="s">
        <v>319</v>
      </c>
      <c r="B60" s="2" t="s">
        <v>167</v>
      </c>
      <c r="C60" s="2" t="s">
        <v>197</v>
      </c>
      <c r="D60" s="2">
        <v>0</v>
      </c>
      <c r="E60" s="2">
        <v>1</v>
      </c>
    </row>
    <row r="61" spans="1:5" ht="25.05" customHeight="1">
      <c r="A61" s="2" t="s">
        <v>320</v>
      </c>
      <c r="B61" s="2" t="s">
        <v>167</v>
      </c>
      <c r="C61" s="2" t="s">
        <v>199</v>
      </c>
      <c r="D61" s="2">
        <v>2</v>
      </c>
      <c r="E61" s="2">
        <v>2</v>
      </c>
    </row>
    <row r="62" spans="1:5" ht="25.05" customHeight="1">
      <c r="A62" s="2" t="s">
        <v>321</v>
      </c>
      <c r="B62" s="2" t="s">
        <v>167</v>
      </c>
      <c r="C62" s="2" t="s">
        <v>201</v>
      </c>
      <c r="D62" s="2">
        <v>2</v>
      </c>
      <c r="E62" s="2">
        <v>2</v>
      </c>
    </row>
    <row r="63" spans="1:5" ht="25.05" customHeight="1">
      <c r="A63" s="2" t="s">
        <v>322</v>
      </c>
      <c r="B63" s="2" t="s">
        <v>167</v>
      </c>
      <c r="C63" s="2" t="s">
        <v>203</v>
      </c>
      <c r="D63" s="2">
        <v>0</v>
      </c>
      <c r="E63" s="2">
        <v>1</v>
      </c>
    </row>
    <row r="64" spans="1:5" ht="25.05" customHeight="1">
      <c r="A64" s="2" t="s">
        <v>323</v>
      </c>
      <c r="B64" s="2" t="s">
        <v>167</v>
      </c>
      <c r="C64" s="2" t="s">
        <v>205</v>
      </c>
      <c r="D64" s="2">
        <v>-3</v>
      </c>
      <c r="E64" s="2">
        <v>-2</v>
      </c>
    </row>
    <row r="65" spans="1:5" ht="25.05" customHeight="1">
      <c r="A65" s="2" t="s">
        <v>324</v>
      </c>
      <c r="B65" s="2" t="s">
        <v>167</v>
      </c>
      <c r="C65" s="2" t="s">
        <v>207</v>
      </c>
      <c r="D65" s="2">
        <v>1</v>
      </c>
      <c r="E65" s="2">
        <v>0</v>
      </c>
    </row>
    <row r="66" spans="1:5" ht="25.05" customHeight="1">
      <c r="A66" s="2" t="s">
        <v>325</v>
      </c>
      <c r="B66" s="2" t="s">
        <v>167</v>
      </c>
      <c r="C66" s="2" t="s">
        <v>211</v>
      </c>
      <c r="D66" s="2">
        <v>2</v>
      </c>
      <c r="E66" s="2">
        <v>0</v>
      </c>
    </row>
    <row r="67" spans="1:5" ht="25.05" customHeight="1">
      <c r="A67" s="2" t="s">
        <v>326</v>
      </c>
      <c r="B67" s="2" t="s">
        <v>167</v>
      </c>
      <c r="C67" s="2" t="s">
        <v>225</v>
      </c>
      <c r="D67" s="2">
        <v>2</v>
      </c>
      <c r="E67" s="2">
        <v>0</v>
      </c>
    </row>
    <row r="68" spans="1:5" ht="25.05" customHeight="1">
      <c r="A68" s="2" t="s">
        <v>327</v>
      </c>
      <c r="B68" s="2" t="s">
        <v>169</v>
      </c>
      <c r="C68" s="2" t="s">
        <v>181</v>
      </c>
      <c r="D68" s="2">
        <v>-2</v>
      </c>
      <c r="E68" s="2">
        <v>-1</v>
      </c>
    </row>
    <row r="69" spans="1:5" ht="25.05" customHeight="1">
      <c r="A69" s="2" t="s">
        <v>328</v>
      </c>
      <c r="B69" s="2" t="s">
        <v>169</v>
      </c>
      <c r="C69" s="2" t="s">
        <v>195</v>
      </c>
      <c r="D69" s="2">
        <v>0</v>
      </c>
      <c r="E69" s="2">
        <v>1</v>
      </c>
    </row>
    <row r="70" spans="1:5" ht="25.05" customHeight="1">
      <c r="A70" s="2" t="s">
        <v>329</v>
      </c>
      <c r="B70" s="2" t="s">
        <v>169</v>
      </c>
      <c r="C70" s="2" t="s">
        <v>197</v>
      </c>
      <c r="D70" s="2">
        <v>0</v>
      </c>
      <c r="E70" s="2">
        <v>1</v>
      </c>
    </row>
    <row r="71" spans="1:5" ht="25.05" customHeight="1">
      <c r="A71" s="2" t="s">
        <v>330</v>
      </c>
      <c r="B71" s="2" t="s">
        <v>169</v>
      </c>
      <c r="C71" s="2" t="s">
        <v>199</v>
      </c>
      <c r="D71" s="2">
        <v>2</v>
      </c>
      <c r="E71" s="2">
        <v>2</v>
      </c>
    </row>
    <row r="72" spans="1:5" ht="25.05" customHeight="1">
      <c r="A72" s="2" t="s">
        <v>331</v>
      </c>
      <c r="B72" s="2" t="s">
        <v>169</v>
      </c>
      <c r="C72" s="2" t="s">
        <v>201</v>
      </c>
      <c r="D72" s="2">
        <v>2</v>
      </c>
      <c r="E72" s="2">
        <v>2</v>
      </c>
    </row>
    <row r="73" spans="1:5" ht="25.05" customHeight="1">
      <c r="A73" s="2" t="s">
        <v>332</v>
      </c>
      <c r="B73" s="2" t="s">
        <v>169</v>
      </c>
      <c r="C73" s="2" t="s">
        <v>203</v>
      </c>
      <c r="D73" s="2">
        <v>0</v>
      </c>
      <c r="E73" s="2">
        <v>1</v>
      </c>
    </row>
    <row r="74" spans="1:5" ht="25.05" customHeight="1">
      <c r="A74" s="2" t="s">
        <v>333</v>
      </c>
      <c r="B74" s="2" t="s">
        <v>169</v>
      </c>
      <c r="C74" s="2" t="s">
        <v>205</v>
      </c>
      <c r="D74" s="2">
        <v>-3</v>
      </c>
      <c r="E74" s="2">
        <v>-2</v>
      </c>
    </row>
    <row r="75" spans="1:5" ht="25.05" customHeight="1">
      <c r="A75" s="2" t="s">
        <v>334</v>
      </c>
      <c r="B75" s="2" t="s">
        <v>171</v>
      </c>
      <c r="C75" s="2" t="s">
        <v>173</v>
      </c>
      <c r="D75" s="2">
        <v>2</v>
      </c>
      <c r="E75" s="2">
        <v>0</v>
      </c>
    </row>
    <row r="76" spans="1:5" ht="25.05" customHeight="1">
      <c r="A76" s="2" t="s">
        <v>335</v>
      </c>
      <c r="B76" s="2" t="s">
        <v>171</v>
      </c>
      <c r="C76" s="2" t="s">
        <v>177</v>
      </c>
      <c r="D76" s="2">
        <v>3</v>
      </c>
      <c r="E76" s="2">
        <v>2</v>
      </c>
    </row>
    <row r="77" spans="1:5" ht="25.05" customHeight="1">
      <c r="A77" s="2" t="s">
        <v>336</v>
      </c>
      <c r="B77" s="2" t="s">
        <v>171</v>
      </c>
      <c r="C77" s="2" t="s">
        <v>179</v>
      </c>
      <c r="D77" s="2">
        <v>2</v>
      </c>
      <c r="E77" s="2">
        <v>0</v>
      </c>
    </row>
    <row r="78" spans="1:5" ht="25.05" customHeight="1">
      <c r="A78" s="2" t="s">
        <v>337</v>
      </c>
      <c r="B78" s="2" t="s">
        <v>171</v>
      </c>
      <c r="C78" s="2" t="s">
        <v>181</v>
      </c>
      <c r="D78" s="2">
        <v>-2</v>
      </c>
      <c r="E78" s="2">
        <v>-1</v>
      </c>
    </row>
    <row r="79" spans="1:5" ht="25.05" customHeight="1">
      <c r="A79" s="2" t="s">
        <v>338</v>
      </c>
      <c r="B79" s="2" t="s">
        <v>171</v>
      </c>
      <c r="C79" s="2" t="s">
        <v>183</v>
      </c>
      <c r="D79" s="2">
        <v>1</v>
      </c>
      <c r="E79" s="2">
        <v>0</v>
      </c>
    </row>
    <row r="80" spans="1:5" ht="25.05" customHeight="1">
      <c r="A80" s="2" t="s">
        <v>339</v>
      </c>
      <c r="B80" s="2" t="s">
        <v>171</v>
      </c>
      <c r="C80" s="2" t="s">
        <v>195</v>
      </c>
      <c r="D80" s="2">
        <v>0</v>
      </c>
      <c r="E80" s="2">
        <v>2</v>
      </c>
    </row>
    <row r="81" spans="1:5" ht="25.05" customHeight="1">
      <c r="A81" s="2" t="s">
        <v>340</v>
      </c>
      <c r="B81" s="2" t="s">
        <v>171</v>
      </c>
      <c r="C81" s="2" t="s">
        <v>203</v>
      </c>
      <c r="D81" s="2">
        <v>0</v>
      </c>
      <c r="E81" s="2">
        <v>1</v>
      </c>
    </row>
    <row r="82" spans="1:5" ht="25.05" customHeight="1">
      <c r="A82" s="2" t="s">
        <v>341</v>
      </c>
      <c r="B82" s="2" t="s">
        <v>171</v>
      </c>
      <c r="C82" s="2" t="s">
        <v>205</v>
      </c>
      <c r="D82" s="2">
        <v>-2</v>
      </c>
      <c r="E82" s="2">
        <v>-2</v>
      </c>
    </row>
    <row r="83" spans="1:5" ht="25.05" customHeight="1">
      <c r="A83" s="2" t="s">
        <v>342</v>
      </c>
      <c r="B83" s="2" t="s">
        <v>171</v>
      </c>
      <c r="C83" s="2" t="s">
        <v>211</v>
      </c>
      <c r="D83" s="2">
        <v>2</v>
      </c>
      <c r="E83" s="2">
        <v>0</v>
      </c>
    </row>
    <row r="84" spans="1:5" ht="25.05" customHeight="1">
      <c r="A84" s="2" t="s">
        <v>343</v>
      </c>
      <c r="B84" s="2" t="s">
        <v>171</v>
      </c>
      <c r="C84" s="2" t="s">
        <v>219</v>
      </c>
      <c r="D84" s="2">
        <v>2</v>
      </c>
      <c r="E84" s="2">
        <v>0</v>
      </c>
    </row>
    <row r="85" spans="1:5" ht="25.05" customHeight="1">
      <c r="A85" s="2" t="s">
        <v>344</v>
      </c>
      <c r="B85" s="2" t="s">
        <v>171</v>
      </c>
      <c r="C85" s="2" t="s">
        <v>221</v>
      </c>
      <c r="D85" s="2">
        <v>-1</v>
      </c>
      <c r="E85" s="2">
        <v>-1</v>
      </c>
    </row>
    <row r="86" spans="1:5" ht="25.05" customHeight="1">
      <c r="A86" s="2" t="s">
        <v>345</v>
      </c>
      <c r="B86" s="2" t="s">
        <v>171</v>
      </c>
      <c r="C86" s="2" t="s">
        <v>229</v>
      </c>
      <c r="D86" s="2">
        <v>-2</v>
      </c>
      <c r="E86" s="2">
        <v>-2</v>
      </c>
    </row>
    <row r="87" spans="1:5" ht="25.05" customHeight="1">
      <c r="A87" s="2" t="s">
        <v>346</v>
      </c>
      <c r="B87" s="2" t="s">
        <v>173</v>
      </c>
      <c r="C87" s="2" t="s">
        <v>175</v>
      </c>
      <c r="D87" s="2">
        <v>2</v>
      </c>
      <c r="E87" s="2">
        <v>2</v>
      </c>
    </row>
    <row r="88" spans="1:5" ht="25.05" customHeight="1">
      <c r="A88" s="2" t="s">
        <v>347</v>
      </c>
      <c r="B88" s="2" t="s">
        <v>173</v>
      </c>
      <c r="C88" s="2" t="s">
        <v>179</v>
      </c>
      <c r="D88" s="2">
        <v>3</v>
      </c>
      <c r="E88" s="2">
        <v>2</v>
      </c>
    </row>
    <row r="89" spans="1:5" ht="25.05" customHeight="1">
      <c r="A89" s="2" t="s">
        <v>348</v>
      </c>
      <c r="B89" s="2" t="s">
        <v>173</v>
      </c>
      <c r="C89" s="2" t="s">
        <v>181</v>
      </c>
      <c r="D89" s="2">
        <v>-2</v>
      </c>
      <c r="E89" s="2">
        <v>-1</v>
      </c>
    </row>
    <row r="90" spans="1:5" ht="25.05" customHeight="1">
      <c r="A90" s="2" t="s">
        <v>349</v>
      </c>
      <c r="B90" s="2" t="s">
        <v>173</v>
      </c>
      <c r="C90" s="2" t="s">
        <v>183</v>
      </c>
      <c r="D90" s="2">
        <v>1</v>
      </c>
      <c r="E90" s="2">
        <v>0</v>
      </c>
    </row>
    <row r="91" spans="1:5" ht="25.05" customHeight="1">
      <c r="A91" s="2" t="s">
        <v>350</v>
      </c>
      <c r="B91" s="2" t="s">
        <v>173</v>
      </c>
      <c r="C91" s="2" t="s">
        <v>195</v>
      </c>
      <c r="D91" s="2">
        <v>0</v>
      </c>
      <c r="E91" s="2">
        <v>2</v>
      </c>
    </row>
    <row r="92" spans="1:5" ht="25.05" customHeight="1">
      <c r="A92" s="2" t="s">
        <v>351</v>
      </c>
      <c r="B92" s="2" t="s">
        <v>173</v>
      </c>
      <c r="C92" s="2" t="s">
        <v>203</v>
      </c>
      <c r="D92" s="2">
        <v>0</v>
      </c>
      <c r="E92" s="2">
        <v>3</v>
      </c>
    </row>
    <row r="93" spans="1:5" ht="25.05" customHeight="1">
      <c r="A93" s="2" t="s">
        <v>352</v>
      </c>
      <c r="B93" s="2" t="s">
        <v>173</v>
      </c>
      <c r="C93" s="2" t="s">
        <v>205</v>
      </c>
      <c r="D93" s="2">
        <v>-2</v>
      </c>
      <c r="E93" s="2">
        <v>-2</v>
      </c>
    </row>
    <row r="94" spans="1:5" ht="25.05" customHeight="1">
      <c r="A94" s="2" t="s">
        <v>353</v>
      </c>
      <c r="B94" s="2" t="s">
        <v>173</v>
      </c>
      <c r="C94" s="2" t="s">
        <v>211</v>
      </c>
      <c r="D94" s="2">
        <v>2</v>
      </c>
      <c r="E94" s="2">
        <v>0</v>
      </c>
    </row>
    <row r="95" spans="1:5" ht="25.05" customHeight="1">
      <c r="A95" s="2" t="s">
        <v>354</v>
      </c>
      <c r="B95" s="2" t="s">
        <v>173</v>
      </c>
      <c r="C95" s="2" t="s">
        <v>219</v>
      </c>
      <c r="D95" s="2">
        <v>2</v>
      </c>
      <c r="E95" s="2">
        <v>0</v>
      </c>
    </row>
    <row r="96" spans="1:5" ht="25.05" customHeight="1">
      <c r="A96" s="2" t="s">
        <v>355</v>
      </c>
      <c r="B96" s="2" t="s">
        <v>173</v>
      </c>
      <c r="C96" s="2" t="s">
        <v>221</v>
      </c>
      <c r="D96" s="2">
        <v>-2</v>
      </c>
      <c r="E96" s="2">
        <v>-2</v>
      </c>
    </row>
    <row r="97" spans="1:5" ht="25.05" customHeight="1">
      <c r="A97" s="2" t="s">
        <v>356</v>
      </c>
      <c r="B97" s="2" t="s">
        <v>173</v>
      </c>
      <c r="C97" s="2" t="s">
        <v>227</v>
      </c>
      <c r="D97" s="2">
        <v>2</v>
      </c>
      <c r="E97" s="2">
        <v>0</v>
      </c>
    </row>
    <row r="98" spans="1:5" ht="25.05" customHeight="1">
      <c r="A98" s="2" t="s">
        <v>357</v>
      </c>
      <c r="B98" s="2" t="s">
        <v>173</v>
      </c>
      <c r="C98" s="2" t="s">
        <v>229</v>
      </c>
      <c r="D98" s="2">
        <v>-2</v>
      </c>
      <c r="E98" s="2">
        <v>-2</v>
      </c>
    </row>
    <row r="99" spans="1:5" ht="25.05" customHeight="1">
      <c r="A99" s="2" t="s">
        <v>358</v>
      </c>
      <c r="B99" s="2" t="s">
        <v>175</v>
      </c>
      <c r="C99" s="2" t="s">
        <v>179</v>
      </c>
      <c r="D99" s="2">
        <v>2</v>
      </c>
      <c r="E99" s="2">
        <v>0</v>
      </c>
    </row>
    <row r="100" spans="1:5" ht="25.05" customHeight="1">
      <c r="A100" s="2" t="s">
        <v>359</v>
      </c>
      <c r="B100" s="2" t="s">
        <v>175</v>
      </c>
      <c r="C100" s="2" t="s">
        <v>181</v>
      </c>
      <c r="D100" s="2">
        <v>-2</v>
      </c>
      <c r="E100" s="2">
        <v>-1</v>
      </c>
    </row>
    <row r="101" spans="1:5" ht="25.05" customHeight="1">
      <c r="A101" s="2" t="s">
        <v>360</v>
      </c>
      <c r="B101" s="2" t="s">
        <v>175</v>
      </c>
      <c r="C101" s="2" t="s">
        <v>205</v>
      </c>
      <c r="D101" s="2">
        <v>-2</v>
      </c>
      <c r="E101" s="2">
        <v>-2</v>
      </c>
    </row>
    <row r="102" spans="1:5" ht="25.05" customHeight="1">
      <c r="A102" s="2" t="s">
        <v>361</v>
      </c>
      <c r="B102" s="2" t="s">
        <v>175</v>
      </c>
      <c r="C102" s="2" t="s">
        <v>219</v>
      </c>
      <c r="D102" s="2">
        <v>3</v>
      </c>
      <c r="E102" s="2">
        <v>2</v>
      </c>
    </row>
    <row r="103" spans="1:5" ht="25.05" customHeight="1">
      <c r="A103" s="2" t="s">
        <v>362</v>
      </c>
      <c r="B103" s="2" t="s">
        <v>175</v>
      </c>
      <c r="C103" s="2" t="s">
        <v>221</v>
      </c>
      <c r="D103" s="2">
        <v>3</v>
      </c>
      <c r="E103" s="2">
        <v>2</v>
      </c>
    </row>
    <row r="104" spans="1:5" ht="25.05" customHeight="1">
      <c r="A104" s="2" t="s">
        <v>363</v>
      </c>
      <c r="B104" s="2" t="s">
        <v>175</v>
      </c>
      <c r="C104" s="2" t="s">
        <v>227</v>
      </c>
      <c r="D104" s="2">
        <v>3</v>
      </c>
      <c r="E104" s="2">
        <v>2</v>
      </c>
    </row>
    <row r="105" spans="1:5" ht="25.05" customHeight="1">
      <c r="A105" s="2" t="s">
        <v>364</v>
      </c>
      <c r="B105" s="2" t="s">
        <v>175</v>
      </c>
      <c r="C105" s="2" t="s">
        <v>229</v>
      </c>
      <c r="D105" s="2">
        <v>-1</v>
      </c>
      <c r="E105" s="2">
        <v>-2</v>
      </c>
    </row>
    <row r="106" spans="1:5" ht="25.05" customHeight="1">
      <c r="A106" s="2" t="s">
        <v>365</v>
      </c>
      <c r="B106" s="2" t="s">
        <v>177</v>
      </c>
      <c r="C106" s="2" t="s">
        <v>179</v>
      </c>
      <c r="D106" s="2">
        <v>2</v>
      </c>
      <c r="E106" s="2">
        <v>2</v>
      </c>
    </row>
    <row r="107" spans="1:5" ht="25.05" customHeight="1">
      <c r="A107" s="2" t="s">
        <v>366</v>
      </c>
      <c r="B107" s="2" t="s">
        <v>177</v>
      </c>
      <c r="C107" s="2" t="s">
        <v>181</v>
      </c>
      <c r="D107" s="2">
        <v>-2</v>
      </c>
      <c r="E107" s="2">
        <v>-1</v>
      </c>
    </row>
    <row r="108" spans="1:5" ht="25.05" customHeight="1">
      <c r="A108" s="2" t="s">
        <v>367</v>
      </c>
      <c r="B108" s="2" t="s">
        <v>177</v>
      </c>
      <c r="C108" s="2" t="s">
        <v>183</v>
      </c>
      <c r="D108" s="2">
        <v>2</v>
      </c>
      <c r="E108" s="2">
        <v>0</v>
      </c>
    </row>
    <row r="109" spans="1:5" ht="25.05" customHeight="1">
      <c r="A109" s="2" t="s">
        <v>368</v>
      </c>
      <c r="B109" s="2" t="s">
        <v>177</v>
      </c>
      <c r="C109" s="2" t="s">
        <v>189</v>
      </c>
      <c r="D109" s="2">
        <v>2</v>
      </c>
      <c r="E109" s="2">
        <v>0</v>
      </c>
    </row>
    <row r="110" spans="1:5" ht="25.05" customHeight="1">
      <c r="A110" s="2" t="s">
        <v>369</v>
      </c>
      <c r="B110" s="2" t="s">
        <v>177</v>
      </c>
      <c r="C110" s="2" t="s">
        <v>193</v>
      </c>
      <c r="D110" s="2">
        <v>-1</v>
      </c>
      <c r="E110" s="2">
        <v>-1</v>
      </c>
    </row>
    <row r="111" spans="1:5" ht="25.05" customHeight="1">
      <c r="A111" s="2" t="s">
        <v>370</v>
      </c>
      <c r="B111" s="2" t="s">
        <v>177</v>
      </c>
      <c r="C111" s="2" t="s">
        <v>195</v>
      </c>
      <c r="D111" s="2">
        <v>0</v>
      </c>
      <c r="E111" s="2">
        <v>2</v>
      </c>
    </row>
    <row r="112" spans="1:5" ht="25.05" customHeight="1">
      <c r="A112" s="2" t="s">
        <v>371</v>
      </c>
      <c r="B112" s="2" t="s">
        <v>177</v>
      </c>
      <c r="C112" s="2" t="s">
        <v>197</v>
      </c>
      <c r="D112" s="2">
        <v>0</v>
      </c>
      <c r="E112" s="2">
        <v>3</v>
      </c>
    </row>
    <row r="113" spans="1:5" ht="25.05" customHeight="1">
      <c r="A113" s="2" t="s">
        <v>372</v>
      </c>
      <c r="B113" s="2" t="s">
        <v>177</v>
      </c>
      <c r="C113" s="2" t="s">
        <v>203</v>
      </c>
      <c r="D113" s="2">
        <v>0</v>
      </c>
      <c r="E113" s="2">
        <v>1</v>
      </c>
    </row>
    <row r="114" spans="1:5" ht="25.05" customHeight="1">
      <c r="A114" s="2" t="s">
        <v>373</v>
      </c>
      <c r="B114" s="2" t="s">
        <v>177</v>
      </c>
      <c r="C114" s="2" t="s">
        <v>205</v>
      </c>
      <c r="D114" s="2">
        <v>-2</v>
      </c>
      <c r="E114" s="2">
        <v>-2</v>
      </c>
    </row>
    <row r="115" spans="1:5" ht="25.05" customHeight="1">
      <c r="A115" s="2" t="s">
        <v>374</v>
      </c>
      <c r="B115" s="2" t="s">
        <v>179</v>
      </c>
      <c r="C115" s="2" t="s">
        <v>181</v>
      </c>
      <c r="D115" s="2">
        <v>-2</v>
      </c>
      <c r="E115" s="2">
        <v>-1</v>
      </c>
    </row>
    <row r="116" spans="1:5" ht="25.05" customHeight="1">
      <c r="A116" s="2" t="s">
        <v>375</v>
      </c>
      <c r="B116" s="2" t="s">
        <v>179</v>
      </c>
      <c r="C116" s="2" t="s">
        <v>183</v>
      </c>
      <c r="D116" s="2">
        <v>1</v>
      </c>
      <c r="E116" s="2">
        <v>0</v>
      </c>
    </row>
    <row r="117" spans="1:5" ht="25.05" customHeight="1">
      <c r="A117" s="2" t="s">
        <v>376</v>
      </c>
      <c r="B117" s="2" t="s">
        <v>179</v>
      </c>
      <c r="C117" s="2" t="s">
        <v>195</v>
      </c>
      <c r="D117" s="2">
        <v>0</v>
      </c>
      <c r="E117" s="2">
        <v>2</v>
      </c>
    </row>
    <row r="118" spans="1:5" ht="25.05" customHeight="1">
      <c r="A118" s="2" t="s">
        <v>377</v>
      </c>
      <c r="B118" s="2" t="s">
        <v>179</v>
      </c>
      <c r="C118" s="2" t="s">
        <v>203</v>
      </c>
      <c r="D118" s="2">
        <v>0</v>
      </c>
      <c r="E118" s="2">
        <v>1</v>
      </c>
    </row>
    <row r="119" spans="1:5" ht="25.05" customHeight="1">
      <c r="A119" s="2" t="s">
        <v>378</v>
      </c>
      <c r="B119" s="2" t="s">
        <v>179</v>
      </c>
      <c r="C119" s="2" t="s">
        <v>205</v>
      </c>
      <c r="D119" s="2">
        <v>-2</v>
      </c>
      <c r="E119" s="2">
        <v>-2</v>
      </c>
    </row>
    <row r="120" spans="1:5" ht="25.05" customHeight="1">
      <c r="A120" s="2" t="s">
        <v>379</v>
      </c>
      <c r="B120" s="2" t="s">
        <v>179</v>
      </c>
      <c r="C120" s="2" t="s">
        <v>211</v>
      </c>
      <c r="D120" s="2">
        <v>2</v>
      </c>
      <c r="E120" s="2">
        <v>0</v>
      </c>
    </row>
    <row r="121" spans="1:5" ht="25.05" customHeight="1">
      <c r="A121" s="2" t="s">
        <v>380</v>
      </c>
      <c r="B121" s="2" t="s">
        <v>179</v>
      </c>
      <c r="C121" s="2" t="s">
        <v>219</v>
      </c>
      <c r="D121" s="2">
        <v>2</v>
      </c>
      <c r="E121" s="2">
        <v>0</v>
      </c>
    </row>
    <row r="122" spans="1:5" ht="25.05" customHeight="1">
      <c r="A122" s="2" t="s">
        <v>381</v>
      </c>
      <c r="B122" s="2" t="s">
        <v>179</v>
      </c>
      <c r="C122" s="2" t="s">
        <v>221</v>
      </c>
      <c r="D122" s="2">
        <v>-1</v>
      </c>
      <c r="E122" s="2">
        <v>-1</v>
      </c>
    </row>
    <row r="123" spans="1:5" ht="25.05" customHeight="1">
      <c r="A123" s="2" t="s">
        <v>382</v>
      </c>
      <c r="B123" s="2" t="s">
        <v>179</v>
      </c>
      <c r="C123" s="2" t="s">
        <v>227</v>
      </c>
      <c r="D123" s="2">
        <v>2</v>
      </c>
      <c r="E123" s="2">
        <v>0</v>
      </c>
    </row>
    <row r="124" spans="1:5" ht="25.05" customHeight="1">
      <c r="A124" s="2" t="s">
        <v>383</v>
      </c>
      <c r="B124" s="2" t="s">
        <v>179</v>
      </c>
      <c r="C124" s="2" t="s">
        <v>229</v>
      </c>
      <c r="D124" s="2">
        <v>-2</v>
      </c>
      <c r="E124" s="2">
        <v>-2</v>
      </c>
    </row>
    <row r="125" spans="1:5" ht="25.05" customHeight="1">
      <c r="A125" s="2" t="s">
        <v>384</v>
      </c>
      <c r="B125" s="2" t="s">
        <v>181</v>
      </c>
      <c r="C125" s="2" t="s">
        <v>189</v>
      </c>
      <c r="D125" s="2">
        <v>-1</v>
      </c>
      <c r="E125" s="2">
        <v>-1</v>
      </c>
    </row>
    <row r="126" spans="1:5" ht="25.05" customHeight="1">
      <c r="A126" s="2" t="s">
        <v>385</v>
      </c>
      <c r="B126" s="2" t="s">
        <v>181</v>
      </c>
      <c r="C126" s="2" t="s">
        <v>195</v>
      </c>
      <c r="D126" s="2">
        <v>0</v>
      </c>
      <c r="E126" s="2">
        <v>-2</v>
      </c>
    </row>
    <row r="127" spans="1:5" ht="25.05" customHeight="1">
      <c r="A127" s="2" t="s">
        <v>386</v>
      </c>
      <c r="B127" s="2" t="s">
        <v>181</v>
      </c>
      <c r="C127" s="2" t="s">
        <v>197</v>
      </c>
      <c r="D127" s="2">
        <v>0</v>
      </c>
      <c r="E127" s="2">
        <v>-2</v>
      </c>
    </row>
    <row r="128" spans="1:5" ht="25.05" customHeight="1">
      <c r="A128" s="2" t="s">
        <v>387</v>
      </c>
      <c r="B128" s="2" t="s">
        <v>181</v>
      </c>
      <c r="C128" s="2" t="s">
        <v>199</v>
      </c>
      <c r="D128" s="2">
        <v>0</v>
      </c>
      <c r="E128" s="2">
        <v>-1</v>
      </c>
    </row>
    <row r="129" spans="1:5" ht="25.05" customHeight="1">
      <c r="A129" s="2" t="s">
        <v>388</v>
      </c>
      <c r="B129" s="2" t="s">
        <v>181</v>
      </c>
      <c r="C129" s="2" t="s">
        <v>201</v>
      </c>
      <c r="D129" s="2">
        <v>0</v>
      </c>
      <c r="E129" s="2">
        <v>-1</v>
      </c>
    </row>
    <row r="130" spans="1:5" ht="25.05" customHeight="1">
      <c r="A130" s="2" t="s">
        <v>389</v>
      </c>
      <c r="B130" s="2" t="s">
        <v>181</v>
      </c>
      <c r="C130" s="2" t="s">
        <v>203</v>
      </c>
      <c r="D130" s="2">
        <v>0</v>
      </c>
      <c r="E130" s="2">
        <v>-2</v>
      </c>
    </row>
    <row r="131" spans="1:5" ht="25.05" customHeight="1">
      <c r="A131" s="2" t="s">
        <v>390</v>
      </c>
      <c r="B131" s="2" t="s">
        <v>181</v>
      </c>
      <c r="C131" s="2" t="s">
        <v>209</v>
      </c>
      <c r="D131" s="2">
        <v>-1</v>
      </c>
      <c r="E131" s="2">
        <v>-1</v>
      </c>
    </row>
    <row r="132" spans="1:5" ht="25.05" customHeight="1">
      <c r="A132" s="2" t="s">
        <v>391</v>
      </c>
      <c r="B132" s="2" t="s">
        <v>183</v>
      </c>
      <c r="C132" s="2" t="s">
        <v>185</v>
      </c>
      <c r="D132" s="2">
        <v>2</v>
      </c>
      <c r="E132" s="2">
        <v>3</v>
      </c>
    </row>
    <row r="133" spans="1:5" ht="25.05" customHeight="1">
      <c r="A133" s="2" t="s">
        <v>392</v>
      </c>
      <c r="B133" s="2" t="s">
        <v>183</v>
      </c>
      <c r="C133" s="2" t="s">
        <v>187</v>
      </c>
      <c r="D133" s="2">
        <v>2</v>
      </c>
      <c r="E133" s="2">
        <v>2</v>
      </c>
    </row>
    <row r="134" spans="1:5" ht="25.05" customHeight="1">
      <c r="A134" s="2" t="s">
        <v>393</v>
      </c>
      <c r="B134" s="2" t="s">
        <v>183</v>
      </c>
      <c r="C134" s="2" t="s">
        <v>189</v>
      </c>
      <c r="D134" s="2">
        <v>3</v>
      </c>
      <c r="E134" s="2">
        <v>3</v>
      </c>
    </row>
    <row r="135" spans="1:5" ht="25.05" customHeight="1">
      <c r="A135" s="2" t="s">
        <v>394</v>
      </c>
      <c r="B135" s="2" t="s">
        <v>183</v>
      </c>
      <c r="C135" s="2" t="s">
        <v>191</v>
      </c>
      <c r="D135" s="2">
        <v>0</v>
      </c>
      <c r="E135" s="2">
        <v>2</v>
      </c>
    </row>
    <row r="136" spans="1:5" ht="25.05" customHeight="1">
      <c r="A136" s="2" t="s">
        <v>395</v>
      </c>
      <c r="B136" s="2" t="s">
        <v>183</v>
      </c>
      <c r="C136" s="2" t="s">
        <v>193</v>
      </c>
      <c r="D136" s="2">
        <v>0</v>
      </c>
      <c r="E136" s="2">
        <v>1</v>
      </c>
    </row>
    <row r="137" spans="1:5" ht="25.05" customHeight="1">
      <c r="A137" s="2" t="s">
        <v>396</v>
      </c>
      <c r="B137" s="2" t="s">
        <v>183</v>
      </c>
      <c r="C137" s="2" t="s">
        <v>203</v>
      </c>
      <c r="D137" s="2">
        <v>0</v>
      </c>
      <c r="E137" s="2">
        <v>2</v>
      </c>
    </row>
    <row r="138" spans="1:5" ht="25.05" customHeight="1">
      <c r="A138" s="2" t="s">
        <v>397</v>
      </c>
      <c r="B138" s="2" t="s">
        <v>183</v>
      </c>
      <c r="C138" s="2" t="s">
        <v>205</v>
      </c>
      <c r="D138" s="2">
        <v>0</v>
      </c>
      <c r="E138" s="2">
        <v>-2</v>
      </c>
    </row>
    <row r="139" spans="1:5" ht="25.05" customHeight="1">
      <c r="A139" s="2" t="s">
        <v>398</v>
      </c>
      <c r="B139" s="2" t="s">
        <v>183</v>
      </c>
      <c r="C139" s="2" t="s">
        <v>207</v>
      </c>
      <c r="D139" s="2">
        <v>3</v>
      </c>
      <c r="E139" s="2">
        <v>0</v>
      </c>
    </row>
    <row r="140" spans="1:5" ht="25.05" customHeight="1">
      <c r="A140" s="2" t="s">
        <v>399</v>
      </c>
      <c r="B140" s="2" t="s">
        <v>183</v>
      </c>
      <c r="C140" s="2" t="s">
        <v>211</v>
      </c>
      <c r="D140" s="2">
        <v>3</v>
      </c>
      <c r="E140" s="2">
        <v>0</v>
      </c>
    </row>
    <row r="141" spans="1:5" ht="25.05" customHeight="1">
      <c r="A141" s="2" t="s">
        <v>400</v>
      </c>
      <c r="B141" s="2" t="s">
        <v>183</v>
      </c>
      <c r="C141" s="2" t="s">
        <v>213</v>
      </c>
      <c r="D141" s="2">
        <v>0</v>
      </c>
      <c r="E141" s="2">
        <v>1</v>
      </c>
    </row>
    <row r="142" spans="1:5" ht="25.05" customHeight="1">
      <c r="A142" s="2" t="s">
        <v>401</v>
      </c>
      <c r="B142" s="2" t="s">
        <v>183</v>
      </c>
      <c r="C142" s="2" t="s">
        <v>215</v>
      </c>
      <c r="D142" s="2">
        <v>0</v>
      </c>
      <c r="E142" s="2">
        <v>1</v>
      </c>
    </row>
    <row r="143" spans="1:5" ht="25.05" customHeight="1">
      <c r="A143" s="2" t="s">
        <v>402</v>
      </c>
      <c r="B143" s="2" t="s">
        <v>183</v>
      </c>
      <c r="C143" s="2" t="s">
        <v>217</v>
      </c>
      <c r="D143" s="2">
        <v>-1</v>
      </c>
      <c r="E143" s="2">
        <v>-1</v>
      </c>
    </row>
    <row r="144" spans="1:5" ht="25.05" customHeight="1">
      <c r="A144" s="2" t="s">
        <v>403</v>
      </c>
      <c r="B144" s="2" t="s">
        <v>183</v>
      </c>
      <c r="C144" s="2" t="s">
        <v>219</v>
      </c>
      <c r="D144" s="2">
        <v>2</v>
      </c>
      <c r="E144" s="2">
        <v>0</v>
      </c>
    </row>
    <row r="145" spans="1:5" ht="25.05" customHeight="1">
      <c r="A145" s="2" t="s">
        <v>404</v>
      </c>
      <c r="B145" s="2" t="s">
        <v>183</v>
      </c>
      <c r="C145" s="2" t="s">
        <v>221</v>
      </c>
      <c r="D145" s="2">
        <v>2</v>
      </c>
      <c r="E145" s="2">
        <v>1</v>
      </c>
    </row>
    <row r="146" spans="1:5" ht="25.05" customHeight="1">
      <c r="A146" s="2" t="s">
        <v>405</v>
      </c>
      <c r="B146" s="2" t="s">
        <v>183</v>
      </c>
      <c r="C146" s="2" t="s">
        <v>223</v>
      </c>
      <c r="D146" s="2">
        <v>2</v>
      </c>
      <c r="E146" s="2">
        <v>0</v>
      </c>
    </row>
    <row r="147" spans="1:5" ht="25.05" customHeight="1">
      <c r="A147" s="2" t="s">
        <v>406</v>
      </c>
      <c r="B147" s="2" t="s">
        <v>183</v>
      </c>
      <c r="C147" s="2" t="s">
        <v>225</v>
      </c>
      <c r="D147" s="2">
        <v>2</v>
      </c>
      <c r="E147" s="2">
        <v>0</v>
      </c>
    </row>
    <row r="148" spans="1:5" ht="25.05" customHeight="1">
      <c r="A148" s="2" t="s">
        <v>407</v>
      </c>
      <c r="B148" s="2" t="s">
        <v>183</v>
      </c>
      <c r="C148" s="2" t="s">
        <v>227</v>
      </c>
      <c r="D148" s="2">
        <v>2</v>
      </c>
      <c r="E148" s="2">
        <v>0</v>
      </c>
    </row>
    <row r="149" spans="1:5" ht="25.05" customHeight="1">
      <c r="A149" s="2" t="s">
        <v>408</v>
      </c>
      <c r="B149" s="2" t="s">
        <v>183</v>
      </c>
      <c r="C149" s="2" t="s">
        <v>229</v>
      </c>
      <c r="D149" s="2">
        <v>0</v>
      </c>
      <c r="E149" s="2">
        <v>-2</v>
      </c>
    </row>
    <row r="150" spans="1:5" ht="25.05" customHeight="1">
      <c r="A150" s="2" t="s">
        <v>409</v>
      </c>
      <c r="B150" s="2" t="s">
        <v>185</v>
      </c>
      <c r="C150" s="2" t="s">
        <v>187</v>
      </c>
      <c r="D150" s="2">
        <v>2</v>
      </c>
      <c r="E150" s="2">
        <v>3</v>
      </c>
    </row>
    <row r="151" spans="1:5" ht="25.05" customHeight="1">
      <c r="A151" s="2" t="s">
        <v>410</v>
      </c>
      <c r="B151" s="2" t="s">
        <v>185</v>
      </c>
      <c r="C151" s="2" t="s">
        <v>189</v>
      </c>
      <c r="D151" s="2">
        <v>2</v>
      </c>
      <c r="E151" s="2">
        <v>2</v>
      </c>
    </row>
    <row r="152" spans="1:5" ht="25.05" customHeight="1">
      <c r="A152" s="2" t="s">
        <v>411</v>
      </c>
      <c r="B152" s="2" t="s">
        <v>185</v>
      </c>
      <c r="C152" s="2" t="s">
        <v>191</v>
      </c>
      <c r="D152" s="2">
        <v>0</v>
      </c>
      <c r="E152" s="2">
        <v>3</v>
      </c>
    </row>
    <row r="153" spans="1:5" ht="25.05" customHeight="1">
      <c r="A153" s="2" t="s">
        <v>412</v>
      </c>
      <c r="B153" s="2" t="s">
        <v>185</v>
      </c>
      <c r="C153" s="2" t="s">
        <v>193</v>
      </c>
      <c r="D153" s="2">
        <v>0</v>
      </c>
      <c r="E153" s="2">
        <v>1</v>
      </c>
    </row>
    <row r="154" spans="1:5" ht="25.05" customHeight="1">
      <c r="A154" s="2" t="s">
        <v>413</v>
      </c>
      <c r="B154" s="2" t="s">
        <v>185</v>
      </c>
      <c r="C154" s="2" t="s">
        <v>203</v>
      </c>
      <c r="D154" s="2">
        <v>0</v>
      </c>
      <c r="E154" s="2">
        <v>3</v>
      </c>
    </row>
    <row r="155" spans="1:5" ht="25.05" customHeight="1">
      <c r="A155" s="2" t="s">
        <v>414</v>
      </c>
      <c r="B155" s="2" t="s">
        <v>185</v>
      </c>
      <c r="C155" s="2" t="s">
        <v>205</v>
      </c>
      <c r="D155" s="2">
        <v>0</v>
      </c>
      <c r="E155" s="2">
        <v>-2</v>
      </c>
    </row>
    <row r="156" spans="1:5" ht="25.05" customHeight="1">
      <c r="A156" s="2" t="s">
        <v>415</v>
      </c>
      <c r="B156" s="2" t="s">
        <v>185</v>
      </c>
      <c r="C156" s="2" t="s">
        <v>213</v>
      </c>
      <c r="D156" s="2">
        <v>0</v>
      </c>
      <c r="E156" s="2">
        <v>1</v>
      </c>
    </row>
    <row r="157" spans="1:5" ht="25.05" customHeight="1">
      <c r="A157" s="2" t="s">
        <v>416</v>
      </c>
      <c r="B157" s="2" t="s">
        <v>185</v>
      </c>
      <c r="C157" s="2" t="s">
        <v>215</v>
      </c>
      <c r="D157" s="2">
        <v>0</v>
      </c>
      <c r="E157" s="2">
        <v>1</v>
      </c>
    </row>
    <row r="158" spans="1:5" ht="25.05" customHeight="1">
      <c r="A158" s="2" t="s">
        <v>417</v>
      </c>
      <c r="B158" s="2" t="s">
        <v>185</v>
      </c>
      <c r="C158" s="2" t="s">
        <v>217</v>
      </c>
      <c r="D158" s="2">
        <v>-1</v>
      </c>
      <c r="E158" s="2">
        <v>-1</v>
      </c>
    </row>
    <row r="159" spans="1:5" ht="25.05" customHeight="1">
      <c r="A159" s="2" t="s">
        <v>418</v>
      </c>
      <c r="B159" s="2" t="s">
        <v>185</v>
      </c>
      <c r="C159" s="2" t="s">
        <v>219</v>
      </c>
      <c r="D159" s="2">
        <v>2</v>
      </c>
      <c r="E159" s="2">
        <v>0</v>
      </c>
    </row>
    <row r="160" spans="1:5" ht="25.05" customHeight="1">
      <c r="A160" s="2" t="s">
        <v>419</v>
      </c>
      <c r="B160" s="2" t="s">
        <v>185</v>
      </c>
      <c r="C160" s="2" t="s">
        <v>221</v>
      </c>
      <c r="D160" s="2">
        <v>2</v>
      </c>
      <c r="E160" s="2">
        <v>1</v>
      </c>
    </row>
    <row r="161" spans="1:5" ht="25.05" customHeight="1">
      <c r="A161" s="2" t="s">
        <v>420</v>
      </c>
      <c r="B161" s="2" t="s">
        <v>185</v>
      </c>
      <c r="C161" s="2" t="s">
        <v>223</v>
      </c>
      <c r="D161" s="2">
        <v>2</v>
      </c>
      <c r="E161" s="2">
        <v>0</v>
      </c>
    </row>
    <row r="162" spans="1:5" ht="25.05" customHeight="1">
      <c r="A162" s="2" t="s">
        <v>421</v>
      </c>
      <c r="B162" s="2" t="s">
        <v>185</v>
      </c>
      <c r="C162" s="2" t="s">
        <v>225</v>
      </c>
      <c r="D162" s="2">
        <v>2</v>
      </c>
      <c r="E162" s="2">
        <v>0</v>
      </c>
    </row>
    <row r="163" spans="1:5" ht="25.05" customHeight="1">
      <c r="A163" s="2" t="s">
        <v>422</v>
      </c>
      <c r="B163" s="2" t="s">
        <v>185</v>
      </c>
      <c r="C163" s="2" t="s">
        <v>227</v>
      </c>
      <c r="D163" s="2">
        <v>2</v>
      </c>
      <c r="E163" s="2">
        <v>0</v>
      </c>
    </row>
    <row r="164" spans="1:5" ht="25.05" customHeight="1">
      <c r="A164" s="2" t="s">
        <v>423</v>
      </c>
      <c r="B164" s="2" t="s">
        <v>185</v>
      </c>
      <c r="C164" s="2" t="s">
        <v>229</v>
      </c>
      <c r="D164" s="2">
        <v>0</v>
      </c>
      <c r="E164" s="2">
        <v>-2</v>
      </c>
    </row>
    <row r="165" spans="1:5" ht="25.05" customHeight="1">
      <c r="A165" s="2" t="s">
        <v>424</v>
      </c>
      <c r="B165" s="2" t="s">
        <v>187</v>
      </c>
      <c r="C165" s="2" t="s">
        <v>189</v>
      </c>
      <c r="D165" s="2">
        <v>2</v>
      </c>
      <c r="E165" s="2">
        <v>3</v>
      </c>
    </row>
    <row r="166" spans="1:5" ht="25.05" customHeight="1">
      <c r="A166" s="2" t="s">
        <v>425</v>
      </c>
      <c r="B166" s="2" t="s">
        <v>187</v>
      </c>
      <c r="C166" s="2" t="s">
        <v>191</v>
      </c>
      <c r="D166" s="2">
        <v>0</v>
      </c>
      <c r="E166" s="2">
        <v>3</v>
      </c>
    </row>
    <row r="167" spans="1:5" ht="25.05" customHeight="1">
      <c r="A167" s="2" t="s">
        <v>426</v>
      </c>
      <c r="B167" s="2" t="s">
        <v>187</v>
      </c>
      <c r="C167" s="2" t="s">
        <v>193</v>
      </c>
      <c r="D167" s="2">
        <v>0</v>
      </c>
      <c r="E167" s="2">
        <v>1</v>
      </c>
    </row>
    <row r="168" spans="1:5" ht="25.05" customHeight="1">
      <c r="A168" s="2" t="s">
        <v>427</v>
      </c>
      <c r="B168" s="2" t="s">
        <v>187</v>
      </c>
      <c r="C168" s="2" t="s">
        <v>205</v>
      </c>
      <c r="D168" s="2">
        <v>0</v>
      </c>
      <c r="E168" s="2">
        <v>-2</v>
      </c>
    </row>
    <row r="169" spans="1:5" ht="25.05" customHeight="1">
      <c r="A169" s="2" t="s">
        <v>428</v>
      </c>
      <c r="B169" s="2" t="s">
        <v>187</v>
      </c>
      <c r="C169" s="2" t="s">
        <v>209</v>
      </c>
      <c r="D169" s="2">
        <v>3</v>
      </c>
      <c r="E169" s="2">
        <v>3</v>
      </c>
    </row>
    <row r="170" spans="1:5" ht="25.05" customHeight="1">
      <c r="A170" s="2" t="s">
        <v>429</v>
      </c>
      <c r="B170" s="2" t="s">
        <v>187</v>
      </c>
      <c r="C170" s="2" t="s">
        <v>211</v>
      </c>
      <c r="D170" s="2">
        <v>3</v>
      </c>
      <c r="E170" s="2">
        <v>0</v>
      </c>
    </row>
    <row r="171" spans="1:5" ht="25.05" customHeight="1">
      <c r="A171" s="2" t="s">
        <v>430</v>
      </c>
      <c r="B171" s="2" t="s">
        <v>187</v>
      </c>
      <c r="C171" s="2" t="s">
        <v>217</v>
      </c>
      <c r="D171" s="2">
        <v>-2</v>
      </c>
      <c r="E171" s="2">
        <v>-2</v>
      </c>
    </row>
    <row r="172" spans="1:5" ht="25.05" customHeight="1">
      <c r="A172" s="2" t="s">
        <v>431</v>
      </c>
      <c r="B172" s="2" t="s">
        <v>187</v>
      </c>
      <c r="C172" s="2" t="s">
        <v>219</v>
      </c>
      <c r="D172" s="2">
        <v>2</v>
      </c>
      <c r="E172" s="2">
        <v>0</v>
      </c>
    </row>
    <row r="173" spans="1:5" ht="25.05" customHeight="1">
      <c r="A173" s="2" t="s">
        <v>432</v>
      </c>
      <c r="B173" s="2" t="s">
        <v>187</v>
      </c>
      <c r="C173" s="2" t="s">
        <v>221</v>
      </c>
      <c r="D173" s="2">
        <v>-2</v>
      </c>
      <c r="E173" s="2">
        <v>-2</v>
      </c>
    </row>
    <row r="174" spans="1:5" ht="25.05" customHeight="1">
      <c r="A174" s="2" t="s">
        <v>433</v>
      </c>
      <c r="B174" s="2" t="s">
        <v>187</v>
      </c>
      <c r="C174" s="2" t="s">
        <v>227</v>
      </c>
      <c r="D174" s="2">
        <v>2</v>
      </c>
      <c r="E174" s="2">
        <v>0</v>
      </c>
    </row>
    <row r="175" spans="1:5" ht="25.05" customHeight="1">
      <c r="A175" s="2" t="s">
        <v>434</v>
      </c>
      <c r="B175" s="2" t="s">
        <v>189</v>
      </c>
      <c r="C175" s="2" t="s">
        <v>191</v>
      </c>
      <c r="D175" s="2">
        <v>0</v>
      </c>
      <c r="E175" s="2">
        <v>2</v>
      </c>
    </row>
    <row r="176" spans="1:5" ht="25.05" customHeight="1">
      <c r="A176" s="2" t="s">
        <v>435</v>
      </c>
      <c r="B176" s="2" t="s">
        <v>189</v>
      </c>
      <c r="C176" s="2" t="s">
        <v>193</v>
      </c>
      <c r="D176" s="2">
        <v>-1</v>
      </c>
      <c r="E176" s="2">
        <v>-1</v>
      </c>
    </row>
    <row r="177" spans="1:5" ht="25.05" customHeight="1">
      <c r="A177" s="2" t="s">
        <v>436</v>
      </c>
      <c r="B177" s="2" t="s">
        <v>189</v>
      </c>
      <c r="C177" s="2" t="s">
        <v>197</v>
      </c>
      <c r="D177" s="2">
        <v>0</v>
      </c>
      <c r="E177" s="2">
        <v>2</v>
      </c>
    </row>
    <row r="178" spans="1:5" ht="25.05" customHeight="1">
      <c r="A178" s="2" t="s">
        <v>437</v>
      </c>
      <c r="B178" s="2" t="s">
        <v>189</v>
      </c>
      <c r="C178" s="2" t="s">
        <v>205</v>
      </c>
      <c r="D178" s="2">
        <v>0</v>
      </c>
      <c r="E178" s="2">
        <v>-2</v>
      </c>
    </row>
    <row r="179" spans="1:5" ht="25.05" customHeight="1">
      <c r="A179" s="2" t="s">
        <v>438</v>
      </c>
      <c r="B179" s="2" t="s">
        <v>189</v>
      </c>
      <c r="C179" s="2" t="s">
        <v>209</v>
      </c>
      <c r="D179" s="2">
        <v>3</v>
      </c>
      <c r="E179" s="2">
        <v>3</v>
      </c>
    </row>
    <row r="180" spans="1:5" ht="25.05" customHeight="1">
      <c r="A180" s="2" t="s">
        <v>439</v>
      </c>
      <c r="B180" s="2" t="s">
        <v>189</v>
      </c>
      <c r="C180" s="2" t="s">
        <v>213</v>
      </c>
      <c r="D180" s="2">
        <v>0</v>
      </c>
      <c r="E180" s="2">
        <v>1</v>
      </c>
    </row>
    <row r="181" spans="1:5" ht="25.05" customHeight="1">
      <c r="A181" s="2" t="s">
        <v>440</v>
      </c>
      <c r="B181" s="2" t="s">
        <v>189</v>
      </c>
      <c r="C181" s="2" t="s">
        <v>215</v>
      </c>
      <c r="D181" s="2">
        <v>0</v>
      </c>
      <c r="E181" s="2">
        <v>1</v>
      </c>
    </row>
    <row r="182" spans="1:5" ht="25.05" customHeight="1">
      <c r="A182" s="2" t="s">
        <v>441</v>
      </c>
      <c r="B182" s="2" t="s">
        <v>189</v>
      </c>
      <c r="C182" s="2" t="s">
        <v>217</v>
      </c>
      <c r="D182" s="2">
        <v>-2</v>
      </c>
      <c r="E182" s="2">
        <v>-2</v>
      </c>
    </row>
    <row r="183" spans="1:5" ht="25.05" customHeight="1">
      <c r="A183" s="2" t="s">
        <v>442</v>
      </c>
      <c r="B183" s="2" t="s">
        <v>189</v>
      </c>
      <c r="C183" s="2" t="s">
        <v>221</v>
      </c>
      <c r="D183" s="2">
        <v>-2</v>
      </c>
      <c r="E183" s="2">
        <v>-2</v>
      </c>
    </row>
    <row r="184" spans="1:5" ht="25.05" customHeight="1">
      <c r="A184" s="2" t="s">
        <v>443</v>
      </c>
      <c r="B184" s="2" t="s">
        <v>189</v>
      </c>
      <c r="C184" s="2" t="s">
        <v>225</v>
      </c>
      <c r="D184" s="2">
        <v>3</v>
      </c>
      <c r="E184" s="2">
        <v>2</v>
      </c>
    </row>
    <row r="185" spans="1:5" ht="25.05" customHeight="1">
      <c r="A185" s="2" t="s">
        <v>444</v>
      </c>
      <c r="B185" s="2" t="s">
        <v>191</v>
      </c>
      <c r="C185" s="2" t="s">
        <v>193</v>
      </c>
      <c r="D185" s="2">
        <v>0</v>
      </c>
      <c r="E185" s="2">
        <v>1</v>
      </c>
    </row>
    <row r="186" spans="1:5" ht="25.05" customHeight="1">
      <c r="A186" s="2" t="s">
        <v>445</v>
      </c>
      <c r="B186" s="2" t="s">
        <v>191</v>
      </c>
      <c r="C186" s="2" t="s">
        <v>205</v>
      </c>
      <c r="D186" s="2">
        <v>0</v>
      </c>
      <c r="E186" s="2">
        <v>-2</v>
      </c>
    </row>
    <row r="187" spans="1:5" ht="25.05" customHeight="1">
      <c r="A187" s="2" t="s">
        <v>446</v>
      </c>
      <c r="B187" s="2" t="s">
        <v>191</v>
      </c>
      <c r="C187" s="2" t="s">
        <v>219</v>
      </c>
      <c r="D187" s="2">
        <v>1</v>
      </c>
      <c r="E187" s="2">
        <v>0</v>
      </c>
    </row>
    <row r="188" spans="1:5" ht="25.05" customHeight="1">
      <c r="A188" s="2" t="s">
        <v>447</v>
      </c>
      <c r="B188" s="2" t="s">
        <v>191</v>
      </c>
      <c r="C188" s="2" t="s">
        <v>223</v>
      </c>
      <c r="D188" s="2">
        <v>1</v>
      </c>
      <c r="E188" s="2">
        <v>0</v>
      </c>
    </row>
    <row r="189" spans="1:5" ht="25.05" customHeight="1">
      <c r="A189" s="2" t="s">
        <v>448</v>
      </c>
      <c r="B189" s="2" t="s">
        <v>191</v>
      </c>
      <c r="C189" s="2" t="s">
        <v>227</v>
      </c>
      <c r="D189" s="2">
        <v>1</v>
      </c>
      <c r="E189" s="2">
        <v>0</v>
      </c>
    </row>
    <row r="190" spans="1:5" ht="25.05" customHeight="1">
      <c r="A190" s="2" t="s">
        <v>449</v>
      </c>
      <c r="B190" s="2" t="s">
        <v>193</v>
      </c>
      <c r="C190" s="2" t="s">
        <v>197</v>
      </c>
      <c r="D190" s="2">
        <v>0</v>
      </c>
      <c r="E190" s="2">
        <v>-1</v>
      </c>
    </row>
    <row r="191" spans="1:5" ht="25.05" customHeight="1">
      <c r="A191" s="2" t="s">
        <v>450</v>
      </c>
      <c r="B191" s="2" t="s">
        <v>193</v>
      </c>
      <c r="C191" s="2" t="s">
        <v>203</v>
      </c>
      <c r="D191" s="2">
        <v>0</v>
      </c>
      <c r="E191" s="2">
        <v>-1</v>
      </c>
    </row>
    <row r="192" spans="1:5" ht="25.05" customHeight="1">
      <c r="A192" s="2" t="s">
        <v>451</v>
      </c>
      <c r="B192" s="2" t="s">
        <v>193</v>
      </c>
      <c r="C192" s="2" t="s">
        <v>209</v>
      </c>
      <c r="D192" s="2">
        <v>-1</v>
      </c>
      <c r="E192" s="2">
        <v>-1</v>
      </c>
    </row>
    <row r="193" spans="1:5" ht="25.05" customHeight="1">
      <c r="A193" s="2" t="s">
        <v>452</v>
      </c>
      <c r="B193" s="2" t="s">
        <v>193</v>
      </c>
      <c r="C193" s="2" t="s">
        <v>215</v>
      </c>
      <c r="D193" s="2">
        <v>0</v>
      </c>
      <c r="E193" s="2">
        <v>-1</v>
      </c>
    </row>
    <row r="194" spans="1:5" ht="25.05" customHeight="1">
      <c r="A194" s="2" t="s">
        <v>453</v>
      </c>
      <c r="B194" s="2" t="s">
        <v>195</v>
      </c>
      <c r="C194" s="2" t="s">
        <v>197</v>
      </c>
      <c r="D194" s="2">
        <v>0</v>
      </c>
      <c r="E194" s="2">
        <v>3</v>
      </c>
    </row>
    <row r="195" spans="1:5" ht="25.05" customHeight="1">
      <c r="A195" s="2" t="s">
        <v>454</v>
      </c>
      <c r="B195" s="2" t="s">
        <v>195</v>
      </c>
      <c r="C195" s="2" t="s">
        <v>199</v>
      </c>
      <c r="D195" s="2">
        <v>0</v>
      </c>
      <c r="E195" s="2">
        <v>3</v>
      </c>
    </row>
    <row r="196" spans="1:5" ht="25.05" customHeight="1">
      <c r="A196" s="2" t="s">
        <v>455</v>
      </c>
      <c r="B196" s="2" t="s">
        <v>195</v>
      </c>
      <c r="C196" s="2" t="s">
        <v>201</v>
      </c>
      <c r="D196" s="2">
        <v>0</v>
      </c>
      <c r="E196" s="2">
        <v>2</v>
      </c>
    </row>
    <row r="197" spans="1:5" ht="25.05" customHeight="1">
      <c r="A197" s="2" t="s">
        <v>456</v>
      </c>
      <c r="B197" s="2" t="s">
        <v>195</v>
      </c>
      <c r="C197" s="2" t="s">
        <v>203</v>
      </c>
      <c r="D197" s="2">
        <v>0</v>
      </c>
      <c r="E197" s="2">
        <v>3</v>
      </c>
    </row>
    <row r="198" spans="1:5" ht="25.05" customHeight="1">
      <c r="A198" s="2" t="s">
        <v>457</v>
      </c>
      <c r="B198" s="2" t="s">
        <v>195</v>
      </c>
      <c r="C198" s="2" t="s">
        <v>205</v>
      </c>
      <c r="D198" s="2">
        <v>-2</v>
      </c>
      <c r="E198" s="2">
        <v>-3</v>
      </c>
    </row>
    <row r="199" spans="1:5" ht="25.05" customHeight="1">
      <c r="A199" s="2" t="s">
        <v>458</v>
      </c>
      <c r="B199" s="2" t="s">
        <v>195</v>
      </c>
      <c r="C199" s="2" t="s">
        <v>207</v>
      </c>
      <c r="D199" s="2">
        <v>0</v>
      </c>
      <c r="E199" s="2">
        <v>1</v>
      </c>
    </row>
    <row r="200" spans="1:5" ht="25.05" customHeight="1">
      <c r="A200" s="2" t="s">
        <v>459</v>
      </c>
      <c r="B200" s="2" t="s">
        <v>195</v>
      </c>
      <c r="C200" s="2" t="s">
        <v>213</v>
      </c>
      <c r="D200" s="2">
        <v>0</v>
      </c>
      <c r="E200" s="2">
        <v>1</v>
      </c>
    </row>
    <row r="201" spans="1:5" ht="25.05" customHeight="1">
      <c r="A201" s="2" t="s">
        <v>460</v>
      </c>
      <c r="B201" s="2" t="s">
        <v>195</v>
      </c>
      <c r="C201" s="2" t="s">
        <v>215</v>
      </c>
      <c r="D201" s="2">
        <v>0</v>
      </c>
      <c r="E201" s="2">
        <v>1</v>
      </c>
    </row>
    <row r="202" spans="1:5" ht="25.05" customHeight="1">
      <c r="A202" s="2" t="s">
        <v>461</v>
      </c>
      <c r="B202" s="2" t="s">
        <v>195</v>
      </c>
      <c r="C202" s="2" t="s">
        <v>217</v>
      </c>
      <c r="D202" s="2">
        <v>0</v>
      </c>
      <c r="E202" s="2">
        <v>-1</v>
      </c>
    </row>
    <row r="203" spans="1:5" ht="25.05" customHeight="1">
      <c r="A203" s="2" t="s">
        <v>462</v>
      </c>
      <c r="B203" s="2" t="s">
        <v>197</v>
      </c>
      <c r="C203" s="2" t="s">
        <v>199</v>
      </c>
      <c r="D203" s="2">
        <v>0</v>
      </c>
      <c r="E203" s="2">
        <v>2</v>
      </c>
    </row>
    <row r="204" spans="1:5" ht="25.05" customHeight="1">
      <c r="A204" s="2" t="s">
        <v>463</v>
      </c>
      <c r="B204" s="2" t="s">
        <v>197</v>
      </c>
      <c r="C204" s="2" t="s">
        <v>201</v>
      </c>
      <c r="D204" s="2">
        <v>0</v>
      </c>
      <c r="E204" s="2">
        <v>2</v>
      </c>
    </row>
    <row r="205" spans="1:5" ht="25.05" customHeight="1">
      <c r="A205" s="2" t="s">
        <v>464</v>
      </c>
      <c r="B205" s="2" t="s">
        <v>197</v>
      </c>
      <c r="C205" s="2" t="s">
        <v>203</v>
      </c>
      <c r="D205" s="2">
        <v>0</v>
      </c>
      <c r="E205" s="2">
        <v>3</v>
      </c>
    </row>
    <row r="206" spans="1:5" ht="25.05" customHeight="1">
      <c r="A206" s="2" t="s">
        <v>465</v>
      </c>
      <c r="B206" s="2" t="s">
        <v>197</v>
      </c>
      <c r="C206" s="2" t="s">
        <v>205</v>
      </c>
      <c r="D206" s="2">
        <v>-2</v>
      </c>
      <c r="E206" s="2">
        <v>-3</v>
      </c>
    </row>
    <row r="207" spans="1:5" ht="25.05" customHeight="1">
      <c r="A207" s="2" t="s">
        <v>466</v>
      </c>
      <c r="B207" s="2" t="s">
        <v>197</v>
      </c>
      <c r="C207" s="2" t="s">
        <v>207</v>
      </c>
      <c r="D207" s="2">
        <v>0</v>
      </c>
      <c r="E207" s="2">
        <v>1</v>
      </c>
    </row>
    <row r="208" spans="1:5" ht="25.05" customHeight="1">
      <c r="A208" s="2" t="s">
        <v>467</v>
      </c>
      <c r="B208" s="2" t="s">
        <v>197</v>
      </c>
      <c r="C208" s="2" t="s">
        <v>213</v>
      </c>
      <c r="D208" s="2">
        <v>0</v>
      </c>
      <c r="E208" s="2">
        <v>2</v>
      </c>
    </row>
    <row r="209" spans="1:5" ht="25.05" customHeight="1">
      <c r="A209" s="2" t="s">
        <v>468</v>
      </c>
      <c r="B209" s="2" t="s">
        <v>197</v>
      </c>
      <c r="C209" s="2" t="s">
        <v>215</v>
      </c>
      <c r="D209" s="2">
        <v>0</v>
      </c>
      <c r="E209" s="2">
        <v>3</v>
      </c>
    </row>
    <row r="210" spans="1:5" ht="25.05" customHeight="1">
      <c r="A210" s="2" t="s">
        <v>469</v>
      </c>
      <c r="B210" s="2" t="s">
        <v>197</v>
      </c>
      <c r="C210" s="2" t="s">
        <v>217</v>
      </c>
      <c r="D210" s="2">
        <v>0</v>
      </c>
      <c r="E210" s="2">
        <v>-1</v>
      </c>
    </row>
    <row r="211" spans="1:5" ht="25.05" customHeight="1">
      <c r="A211" s="2" t="s">
        <v>470</v>
      </c>
      <c r="B211" s="2" t="s">
        <v>199</v>
      </c>
      <c r="C211" s="2" t="s">
        <v>201</v>
      </c>
      <c r="D211" s="2">
        <v>0</v>
      </c>
      <c r="E211" s="2">
        <v>3</v>
      </c>
    </row>
    <row r="212" spans="1:5" ht="25.05" customHeight="1">
      <c r="A212" s="2" t="s">
        <v>471</v>
      </c>
      <c r="B212" s="2" t="s">
        <v>199</v>
      </c>
      <c r="C212" s="2" t="s">
        <v>203</v>
      </c>
      <c r="D212" s="2">
        <v>0</v>
      </c>
      <c r="E212" s="2">
        <v>2</v>
      </c>
    </row>
    <row r="213" spans="1:5" ht="25.05" customHeight="1">
      <c r="A213" s="2" t="s">
        <v>472</v>
      </c>
      <c r="B213" s="2" t="s">
        <v>199</v>
      </c>
      <c r="C213" s="2" t="s">
        <v>205</v>
      </c>
      <c r="D213" s="2">
        <v>-3</v>
      </c>
      <c r="E213" s="2">
        <v>-3</v>
      </c>
    </row>
    <row r="214" spans="1:5" ht="25.05" customHeight="1">
      <c r="A214" s="2" t="s">
        <v>473</v>
      </c>
      <c r="B214" s="2" t="s">
        <v>201</v>
      </c>
      <c r="C214" s="2" t="s">
        <v>203</v>
      </c>
      <c r="D214" s="2">
        <v>0</v>
      </c>
      <c r="E214" s="2">
        <v>2</v>
      </c>
    </row>
    <row r="215" spans="1:5" ht="25.05" customHeight="1">
      <c r="A215" s="2" t="s">
        <v>474</v>
      </c>
      <c r="B215" s="2" t="s">
        <v>201</v>
      </c>
      <c r="C215" s="2" t="s">
        <v>205</v>
      </c>
      <c r="D215" s="2">
        <v>-3</v>
      </c>
      <c r="E215" s="2">
        <v>-3</v>
      </c>
    </row>
    <row r="216" spans="1:5" ht="25.05" customHeight="1">
      <c r="A216" s="2" t="s">
        <v>475</v>
      </c>
      <c r="B216" s="2" t="s">
        <v>203</v>
      </c>
      <c r="C216" s="2" t="s">
        <v>205</v>
      </c>
      <c r="D216" s="2">
        <v>-2</v>
      </c>
      <c r="E216" s="2">
        <v>-3</v>
      </c>
    </row>
    <row r="217" spans="1:5" ht="25.05" customHeight="1">
      <c r="A217" s="2" t="s">
        <v>476</v>
      </c>
      <c r="B217" s="2" t="s">
        <v>203</v>
      </c>
      <c r="C217" s="2" t="s">
        <v>213</v>
      </c>
      <c r="D217" s="2">
        <v>0</v>
      </c>
      <c r="E217" s="2">
        <v>1</v>
      </c>
    </row>
    <row r="218" spans="1:5" ht="25.05" customHeight="1">
      <c r="A218" s="2" t="s">
        <v>477</v>
      </c>
      <c r="B218" s="2" t="s">
        <v>203</v>
      </c>
      <c r="C218" s="2" t="s">
        <v>215</v>
      </c>
      <c r="D218" s="2">
        <v>0</v>
      </c>
      <c r="E218" s="2">
        <v>1</v>
      </c>
    </row>
    <row r="219" spans="1:5" ht="25.05" customHeight="1">
      <c r="A219" s="2" t="s">
        <v>478</v>
      </c>
      <c r="B219" s="2" t="s">
        <v>203</v>
      </c>
      <c r="C219" s="2" t="s">
        <v>217</v>
      </c>
      <c r="D219" s="2">
        <v>0</v>
      </c>
      <c r="E219" s="2">
        <v>-2</v>
      </c>
    </row>
    <row r="220" spans="1:5" ht="25.05" customHeight="1">
      <c r="A220" s="2" t="s">
        <v>479</v>
      </c>
      <c r="B220" s="2" t="s">
        <v>203</v>
      </c>
      <c r="C220" s="2" t="s">
        <v>219</v>
      </c>
      <c r="D220" s="2">
        <v>0</v>
      </c>
      <c r="E220" s="2">
        <v>2</v>
      </c>
    </row>
    <row r="221" spans="1:5" ht="25.05" customHeight="1">
      <c r="A221" s="2" t="s">
        <v>480</v>
      </c>
      <c r="B221" s="2" t="s">
        <v>203</v>
      </c>
      <c r="C221" s="2" t="s">
        <v>221</v>
      </c>
      <c r="D221" s="2">
        <v>1</v>
      </c>
      <c r="E221" s="2">
        <v>2</v>
      </c>
    </row>
    <row r="222" spans="1:5" ht="25.05" customHeight="1">
      <c r="A222" s="2" t="s">
        <v>481</v>
      </c>
      <c r="B222" s="2" t="s">
        <v>203</v>
      </c>
      <c r="C222" s="2" t="s">
        <v>227</v>
      </c>
      <c r="D222" s="2">
        <v>0</v>
      </c>
      <c r="E222" s="2">
        <v>2</v>
      </c>
    </row>
    <row r="223" spans="1:5" ht="25.05" customHeight="1">
      <c r="A223" s="2" t="s">
        <v>482</v>
      </c>
      <c r="B223" s="2" t="s">
        <v>203</v>
      </c>
      <c r="C223" s="2" t="s">
        <v>229</v>
      </c>
      <c r="D223" s="2">
        <v>0</v>
      </c>
      <c r="E223" s="2">
        <v>-3</v>
      </c>
    </row>
    <row r="224" spans="1:5" ht="25.05" customHeight="1">
      <c r="A224" s="2" t="s">
        <v>483</v>
      </c>
      <c r="B224" s="2" t="s">
        <v>205</v>
      </c>
      <c r="C224" s="2" t="s">
        <v>207</v>
      </c>
      <c r="D224" s="2">
        <v>0</v>
      </c>
      <c r="E224" s="2">
        <v>-2</v>
      </c>
    </row>
    <row r="225" spans="1:5" ht="25.05" customHeight="1">
      <c r="A225" s="2" t="s">
        <v>484</v>
      </c>
      <c r="B225" s="2" t="s">
        <v>205</v>
      </c>
      <c r="C225" s="2" t="s">
        <v>209</v>
      </c>
      <c r="D225" s="2">
        <v>0</v>
      </c>
      <c r="E225" s="2">
        <v>-2</v>
      </c>
    </row>
    <row r="226" spans="1:5" ht="25.05" customHeight="1">
      <c r="A226" s="2" t="s">
        <v>485</v>
      </c>
      <c r="B226" s="2" t="s">
        <v>205</v>
      </c>
      <c r="C226" s="2" t="s">
        <v>211</v>
      </c>
      <c r="D226" s="2">
        <v>0</v>
      </c>
      <c r="E226" s="2">
        <v>-2</v>
      </c>
    </row>
    <row r="227" spans="1:5" ht="25.05" customHeight="1">
      <c r="A227" s="2" t="s">
        <v>486</v>
      </c>
      <c r="B227" s="2" t="s">
        <v>205</v>
      </c>
      <c r="C227" s="2" t="s">
        <v>213</v>
      </c>
      <c r="D227" s="2">
        <v>0</v>
      </c>
      <c r="E227" s="2">
        <v>-2</v>
      </c>
    </row>
    <row r="228" spans="1:5" ht="25.05" customHeight="1">
      <c r="A228" s="2" t="s">
        <v>487</v>
      </c>
      <c r="B228" s="2" t="s">
        <v>205</v>
      </c>
      <c r="C228" s="2" t="s">
        <v>215</v>
      </c>
      <c r="D228" s="2">
        <v>0</v>
      </c>
      <c r="E228" s="2">
        <v>-2</v>
      </c>
    </row>
    <row r="229" spans="1:5" ht="25.05" customHeight="1">
      <c r="A229" s="2" t="s">
        <v>488</v>
      </c>
      <c r="B229" s="2" t="s">
        <v>205</v>
      </c>
      <c r="C229" s="2" t="s">
        <v>219</v>
      </c>
      <c r="D229" s="2">
        <v>0</v>
      </c>
      <c r="E229" s="2">
        <v>-2</v>
      </c>
    </row>
    <row r="230" spans="1:5" ht="25.05" customHeight="1">
      <c r="A230" s="2" t="s">
        <v>489</v>
      </c>
      <c r="B230" s="2" t="s">
        <v>205</v>
      </c>
      <c r="C230" s="2" t="s">
        <v>223</v>
      </c>
      <c r="D230" s="2">
        <v>0</v>
      </c>
      <c r="E230" s="2">
        <v>-2</v>
      </c>
    </row>
    <row r="231" spans="1:5" ht="25.05" customHeight="1">
      <c r="A231" s="2" t="s">
        <v>490</v>
      </c>
      <c r="B231" s="2" t="s">
        <v>205</v>
      </c>
      <c r="C231" s="2" t="s">
        <v>225</v>
      </c>
      <c r="D231" s="2">
        <v>0</v>
      </c>
      <c r="E231" s="2">
        <v>-2</v>
      </c>
    </row>
    <row r="232" spans="1:5" ht="25.05" customHeight="1">
      <c r="A232" s="2" t="s">
        <v>491</v>
      </c>
      <c r="B232" s="2" t="s">
        <v>205</v>
      </c>
      <c r="C232" s="2" t="s">
        <v>227</v>
      </c>
      <c r="D232" s="2">
        <v>0</v>
      </c>
      <c r="E232" s="2">
        <v>-2</v>
      </c>
    </row>
    <row r="233" spans="1:5" ht="25.05" customHeight="1">
      <c r="A233" s="2" t="s">
        <v>492</v>
      </c>
      <c r="B233" s="2" t="s">
        <v>207</v>
      </c>
      <c r="C233" s="2" t="s">
        <v>209</v>
      </c>
      <c r="D233" s="2">
        <v>0</v>
      </c>
      <c r="E233" s="2">
        <v>2</v>
      </c>
    </row>
    <row r="234" spans="1:5" ht="25.05" customHeight="1">
      <c r="A234" s="2" t="s">
        <v>493</v>
      </c>
      <c r="B234" s="2" t="s">
        <v>207</v>
      </c>
      <c r="C234" s="2" t="s">
        <v>211</v>
      </c>
      <c r="D234" s="2">
        <v>2</v>
      </c>
      <c r="E234" s="2">
        <v>0</v>
      </c>
    </row>
    <row r="235" spans="1:5" ht="25.05" customHeight="1">
      <c r="A235" s="2" t="s">
        <v>494</v>
      </c>
      <c r="B235" s="2" t="s">
        <v>207</v>
      </c>
      <c r="C235" s="2" t="s">
        <v>213</v>
      </c>
      <c r="D235" s="2">
        <v>0</v>
      </c>
      <c r="E235" s="2">
        <v>2</v>
      </c>
    </row>
    <row r="236" spans="1:5" ht="25.05" customHeight="1">
      <c r="A236" s="2" t="s">
        <v>495</v>
      </c>
      <c r="B236" s="2" t="s">
        <v>207</v>
      </c>
      <c r="C236" s="2" t="s">
        <v>215</v>
      </c>
      <c r="D236" s="2">
        <v>0</v>
      </c>
      <c r="E236" s="2">
        <v>2</v>
      </c>
    </row>
    <row r="237" spans="1:5" ht="25.05" customHeight="1">
      <c r="A237" s="2" t="s">
        <v>496</v>
      </c>
      <c r="B237" s="2" t="s">
        <v>207</v>
      </c>
      <c r="C237" s="2" t="s">
        <v>217</v>
      </c>
      <c r="D237" s="2">
        <v>-2</v>
      </c>
      <c r="E237" s="2">
        <v>-2</v>
      </c>
    </row>
    <row r="238" spans="1:5" ht="25.05" customHeight="1">
      <c r="A238" s="2" t="s">
        <v>497</v>
      </c>
      <c r="B238" s="2" t="s">
        <v>207</v>
      </c>
      <c r="C238" s="2" t="s">
        <v>219</v>
      </c>
      <c r="D238" s="2">
        <v>2</v>
      </c>
      <c r="E238" s="2">
        <v>0</v>
      </c>
    </row>
    <row r="239" spans="1:5" ht="25.05" customHeight="1">
      <c r="A239" s="2" t="s">
        <v>498</v>
      </c>
      <c r="B239" s="2" t="s">
        <v>207</v>
      </c>
      <c r="C239" s="2" t="s">
        <v>221</v>
      </c>
      <c r="D239" s="2">
        <v>-1</v>
      </c>
      <c r="E239" s="2">
        <v>-1</v>
      </c>
    </row>
    <row r="240" spans="1:5" ht="25.05" customHeight="1">
      <c r="A240" s="2" t="s">
        <v>499</v>
      </c>
      <c r="B240" s="2" t="s">
        <v>207</v>
      </c>
      <c r="C240" s="2" t="s">
        <v>223</v>
      </c>
      <c r="D240" s="2">
        <v>2</v>
      </c>
      <c r="E240" s="2">
        <v>0</v>
      </c>
    </row>
    <row r="241" spans="1:5" ht="25.05" customHeight="1">
      <c r="A241" s="2" t="s">
        <v>500</v>
      </c>
      <c r="B241" s="2" t="s">
        <v>207</v>
      </c>
      <c r="C241" s="2" t="s">
        <v>225</v>
      </c>
      <c r="D241" s="2">
        <v>2</v>
      </c>
      <c r="E241" s="2">
        <v>0</v>
      </c>
    </row>
    <row r="242" spans="1:5" ht="25.05" customHeight="1">
      <c r="A242" s="2" t="s">
        <v>501</v>
      </c>
      <c r="B242" s="2" t="s">
        <v>207</v>
      </c>
      <c r="C242" s="2" t="s">
        <v>227</v>
      </c>
      <c r="D242" s="2">
        <v>2</v>
      </c>
      <c r="E242" s="2">
        <v>0</v>
      </c>
    </row>
    <row r="243" spans="1:5" ht="25.05" customHeight="1">
      <c r="A243" s="2" t="s">
        <v>502</v>
      </c>
      <c r="B243" s="2" t="s">
        <v>209</v>
      </c>
      <c r="C243" s="2" t="s">
        <v>211</v>
      </c>
      <c r="D243" s="2">
        <v>2</v>
      </c>
      <c r="E243" s="2">
        <v>3</v>
      </c>
    </row>
    <row r="244" spans="1:5" ht="25.05" customHeight="1">
      <c r="A244" s="2" t="s">
        <v>503</v>
      </c>
      <c r="B244" s="2" t="s">
        <v>209</v>
      </c>
      <c r="C244" s="2" t="s">
        <v>213</v>
      </c>
      <c r="D244" s="2">
        <v>0</v>
      </c>
      <c r="E244" s="2">
        <v>2</v>
      </c>
    </row>
    <row r="245" spans="1:5" ht="25.05" customHeight="1">
      <c r="A245" s="2" t="s">
        <v>504</v>
      </c>
      <c r="B245" s="2" t="s">
        <v>209</v>
      </c>
      <c r="C245" s="2" t="s">
        <v>215</v>
      </c>
      <c r="D245" s="2">
        <v>0</v>
      </c>
      <c r="E245" s="2">
        <v>2</v>
      </c>
    </row>
    <row r="246" spans="1:5" ht="25.05" customHeight="1">
      <c r="A246" s="2" t="s">
        <v>505</v>
      </c>
      <c r="B246" s="2" t="s">
        <v>209</v>
      </c>
      <c r="C246" s="2" t="s">
        <v>217</v>
      </c>
      <c r="D246" s="2">
        <v>-3</v>
      </c>
      <c r="E246" s="2">
        <v>-3</v>
      </c>
    </row>
    <row r="247" spans="1:5" ht="25.05" customHeight="1">
      <c r="A247" s="2" t="s">
        <v>506</v>
      </c>
      <c r="B247" s="2" t="s">
        <v>209</v>
      </c>
      <c r="C247" s="2" t="s">
        <v>219</v>
      </c>
      <c r="D247" s="2">
        <v>1</v>
      </c>
      <c r="E247" s="2">
        <v>0</v>
      </c>
    </row>
    <row r="248" spans="1:5" ht="25.05" customHeight="1">
      <c r="A248" s="2" t="s">
        <v>507</v>
      </c>
      <c r="B248" s="2" t="s">
        <v>209</v>
      </c>
      <c r="C248" s="2" t="s">
        <v>221</v>
      </c>
      <c r="D248" s="2">
        <v>-2</v>
      </c>
      <c r="E248" s="2">
        <v>-2</v>
      </c>
    </row>
    <row r="249" spans="1:5" ht="25.05" customHeight="1">
      <c r="A249" s="2" t="s">
        <v>508</v>
      </c>
      <c r="B249" s="2" t="s">
        <v>209</v>
      </c>
      <c r="C249" s="2" t="s">
        <v>223</v>
      </c>
      <c r="D249" s="2">
        <v>1</v>
      </c>
      <c r="E249" s="2">
        <v>0</v>
      </c>
    </row>
    <row r="250" spans="1:5" ht="25.05" customHeight="1">
      <c r="A250" s="2" t="s">
        <v>509</v>
      </c>
      <c r="B250" s="2" t="s">
        <v>209</v>
      </c>
      <c r="C250" s="2" t="s">
        <v>225</v>
      </c>
      <c r="D250" s="2">
        <v>3</v>
      </c>
      <c r="E250" s="2">
        <v>2</v>
      </c>
    </row>
    <row r="251" spans="1:5" ht="25.05" customHeight="1">
      <c r="A251" s="2" t="s">
        <v>510</v>
      </c>
      <c r="B251" s="2" t="s">
        <v>209</v>
      </c>
      <c r="C251" s="2" t="s">
        <v>227</v>
      </c>
      <c r="D251" s="2">
        <v>1</v>
      </c>
      <c r="E251" s="2">
        <v>0</v>
      </c>
    </row>
    <row r="252" spans="1:5" ht="25.05" customHeight="1">
      <c r="A252" s="2" t="s">
        <v>511</v>
      </c>
      <c r="B252" s="2" t="s">
        <v>211</v>
      </c>
      <c r="C252" s="2" t="s">
        <v>213</v>
      </c>
      <c r="D252" s="2">
        <v>0</v>
      </c>
      <c r="E252" s="2">
        <v>2</v>
      </c>
    </row>
    <row r="253" spans="1:5" ht="25.05" customHeight="1">
      <c r="A253" s="2" t="s">
        <v>512</v>
      </c>
      <c r="B253" s="2" t="s">
        <v>211</v>
      </c>
      <c r="C253" s="2" t="s">
        <v>215</v>
      </c>
      <c r="D253" s="2">
        <v>0</v>
      </c>
      <c r="E253" s="2">
        <v>1</v>
      </c>
    </row>
    <row r="254" spans="1:5" ht="25.05" customHeight="1">
      <c r="A254" s="2" t="s">
        <v>513</v>
      </c>
      <c r="B254" s="2" t="s">
        <v>211</v>
      </c>
      <c r="C254" s="2" t="s">
        <v>217</v>
      </c>
      <c r="D254" s="2">
        <v>-2</v>
      </c>
      <c r="E254" s="2">
        <v>-2</v>
      </c>
    </row>
    <row r="255" spans="1:5" ht="25.05" customHeight="1">
      <c r="A255" s="2" t="s">
        <v>514</v>
      </c>
      <c r="B255" s="2" t="s">
        <v>211</v>
      </c>
      <c r="C255" s="2" t="s">
        <v>219</v>
      </c>
      <c r="D255" s="2">
        <v>2</v>
      </c>
      <c r="E255" s="2">
        <v>0</v>
      </c>
    </row>
    <row r="256" spans="1:5" ht="25.05" customHeight="1">
      <c r="A256" s="2" t="s">
        <v>515</v>
      </c>
      <c r="B256" s="2" t="s">
        <v>211</v>
      </c>
      <c r="C256" s="2" t="s">
        <v>221</v>
      </c>
      <c r="D256" s="2">
        <v>-1</v>
      </c>
      <c r="E256" s="2">
        <v>-1</v>
      </c>
    </row>
    <row r="257" spans="1:5" ht="25.05" customHeight="1">
      <c r="A257" s="2" t="s">
        <v>516</v>
      </c>
      <c r="B257" s="2" t="s">
        <v>211</v>
      </c>
      <c r="C257" s="2" t="s">
        <v>227</v>
      </c>
      <c r="D257" s="2">
        <v>2</v>
      </c>
      <c r="E257" s="2">
        <v>0</v>
      </c>
    </row>
    <row r="258" spans="1:5" ht="25.05" customHeight="1">
      <c r="A258" s="2" t="s">
        <v>517</v>
      </c>
      <c r="B258" s="2" t="s">
        <v>213</v>
      </c>
      <c r="C258" s="2" t="s">
        <v>215</v>
      </c>
      <c r="D258" s="2">
        <v>0</v>
      </c>
      <c r="E258" s="2">
        <v>3</v>
      </c>
    </row>
    <row r="259" spans="1:5" ht="25.05" customHeight="1">
      <c r="A259" s="2" t="s">
        <v>518</v>
      </c>
      <c r="B259" s="2" t="s">
        <v>213</v>
      </c>
      <c r="C259" s="2" t="s">
        <v>217</v>
      </c>
      <c r="D259" s="2">
        <v>0</v>
      </c>
      <c r="E259" s="2">
        <v>-2</v>
      </c>
    </row>
    <row r="260" spans="1:5" ht="25.05" customHeight="1">
      <c r="A260" s="2" t="s">
        <v>519</v>
      </c>
      <c r="B260" s="2" t="s">
        <v>215</v>
      </c>
      <c r="C260" s="2" t="s">
        <v>217</v>
      </c>
      <c r="D260" s="2">
        <v>0</v>
      </c>
      <c r="E260" s="2">
        <v>-2</v>
      </c>
    </row>
    <row r="261" spans="1:5" ht="25.05" customHeight="1">
      <c r="A261" s="2" t="s">
        <v>520</v>
      </c>
      <c r="B261" s="2" t="s">
        <v>217</v>
      </c>
      <c r="C261" s="2" t="s">
        <v>225</v>
      </c>
      <c r="D261" s="2">
        <v>-1</v>
      </c>
      <c r="E261" s="2">
        <v>-1</v>
      </c>
    </row>
    <row r="262" spans="1:5" ht="25.05" customHeight="1">
      <c r="A262" s="2" t="s">
        <v>521</v>
      </c>
      <c r="B262" s="2" t="s">
        <v>219</v>
      </c>
      <c r="C262" s="2" t="s">
        <v>221</v>
      </c>
      <c r="D262" s="2">
        <v>-1</v>
      </c>
      <c r="E262" s="2">
        <v>-1</v>
      </c>
    </row>
    <row r="263" spans="1:5" ht="25.05" customHeight="1">
      <c r="A263" s="2" t="s">
        <v>522</v>
      </c>
      <c r="B263" s="2" t="s">
        <v>219</v>
      </c>
      <c r="C263" s="2" t="s">
        <v>223</v>
      </c>
      <c r="D263" s="2">
        <v>2</v>
      </c>
      <c r="E263" s="2">
        <v>0</v>
      </c>
    </row>
    <row r="264" spans="1:5" ht="25.05" customHeight="1">
      <c r="A264" s="2" t="s">
        <v>523</v>
      </c>
      <c r="B264" s="2" t="s">
        <v>219</v>
      </c>
      <c r="C264" s="2" t="s">
        <v>225</v>
      </c>
      <c r="D264" s="2">
        <v>2</v>
      </c>
      <c r="E264" s="2">
        <v>0</v>
      </c>
    </row>
    <row r="265" spans="1:5" ht="25.05" customHeight="1">
      <c r="A265" s="2" t="s">
        <v>524</v>
      </c>
      <c r="B265" s="2" t="s">
        <v>219</v>
      </c>
      <c r="C265" s="2" t="s">
        <v>227</v>
      </c>
      <c r="D265" s="2">
        <v>3</v>
      </c>
      <c r="E265" s="2">
        <v>2</v>
      </c>
    </row>
    <row r="266" spans="1:5" ht="25.05" customHeight="1">
      <c r="A266" s="2" t="s">
        <v>525</v>
      </c>
      <c r="B266" s="2" t="s">
        <v>219</v>
      </c>
      <c r="C266" s="2" t="s">
        <v>229</v>
      </c>
      <c r="D266" s="2">
        <v>-2</v>
      </c>
      <c r="E266" s="2">
        <v>-2</v>
      </c>
    </row>
    <row r="267" spans="1:5" ht="25.05" customHeight="1">
      <c r="A267" s="2" t="s">
        <v>526</v>
      </c>
      <c r="B267" s="2" t="s">
        <v>221</v>
      </c>
      <c r="C267" s="2" t="s">
        <v>227</v>
      </c>
      <c r="D267" s="2">
        <v>-1</v>
      </c>
      <c r="E267" s="2">
        <v>-1</v>
      </c>
    </row>
    <row r="268" spans="1:5" ht="25.05" customHeight="1">
      <c r="A268" s="2" t="s">
        <v>527</v>
      </c>
      <c r="B268" s="2" t="s">
        <v>223</v>
      </c>
      <c r="C268" s="2" t="s">
        <v>225</v>
      </c>
      <c r="D268" s="2">
        <v>3</v>
      </c>
      <c r="E268" s="2">
        <v>2</v>
      </c>
    </row>
    <row r="269" spans="1:5" ht="25.05" customHeight="1">
      <c r="A269" s="2" t="s">
        <v>528</v>
      </c>
      <c r="B269" s="2" t="s">
        <v>223</v>
      </c>
      <c r="C269" s="2" t="s">
        <v>227</v>
      </c>
      <c r="D269" s="2">
        <v>2</v>
      </c>
      <c r="E269" s="2">
        <v>0</v>
      </c>
    </row>
    <row r="270" spans="1:5" ht="25.05" customHeight="1">
      <c r="A270" s="2" t="s">
        <v>529</v>
      </c>
      <c r="B270" s="2" t="s">
        <v>223</v>
      </c>
      <c r="C270" s="2" t="s">
        <v>229</v>
      </c>
      <c r="D270" s="2">
        <v>-2</v>
      </c>
      <c r="E270" s="2">
        <v>-2</v>
      </c>
    </row>
    <row r="271" spans="1:5" ht="25.05" customHeight="1">
      <c r="A271" s="2" t="s">
        <v>530</v>
      </c>
      <c r="B271" s="2" t="s">
        <v>225</v>
      </c>
      <c r="C271" s="2" t="s">
        <v>227</v>
      </c>
      <c r="D271" s="2">
        <v>2</v>
      </c>
      <c r="E271" s="2">
        <v>0</v>
      </c>
    </row>
    <row r="272" spans="1:5" ht="25.05" customHeight="1">
      <c r="A272" s="2" t="s">
        <v>531</v>
      </c>
      <c r="B272" s="2" t="s">
        <v>225</v>
      </c>
      <c r="C272" s="2" t="s">
        <v>229</v>
      </c>
      <c r="D272" s="2">
        <v>-2</v>
      </c>
      <c r="E272" s="2">
        <v>-2</v>
      </c>
    </row>
    <row r="273" spans="1:5" ht="25.05" customHeight="1">
      <c r="A273" s="2" t="s">
        <v>532</v>
      </c>
      <c r="B273" s="2" t="s">
        <v>227</v>
      </c>
      <c r="C273" s="2" t="s">
        <v>229</v>
      </c>
      <c r="D273" s="2">
        <v>-2</v>
      </c>
      <c r="E273" s="2">
        <v>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3.8"/>
  <cols>
    <col min="1" max="1" width="19" customWidth="1"/>
    <col min="2" max="2" width="22" customWidth="1"/>
    <col min="3" max="3" width="16" customWidth="1"/>
    <col min="4" max="4" width="50" customWidth="1"/>
    <col min="5" max="5" width="16" customWidth="1"/>
    <col min="6" max="6" width="15" customWidth="1"/>
    <col min="7" max="7" width="20" customWidth="1"/>
  </cols>
  <sheetData>
    <row r="1" spans="1:7" ht="36" customHeight="1">
      <c r="A1" s="3" t="s">
        <v>533</v>
      </c>
      <c r="B1" s="3" t="s">
        <v>534</v>
      </c>
      <c r="C1" s="3" t="s">
        <v>535</v>
      </c>
      <c r="D1" s="3" t="s">
        <v>536</v>
      </c>
      <c r="E1" s="3" t="s">
        <v>537</v>
      </c>
      <c r="F1" s="3" t="s">
        <v>259</v>
      </c>
      <c r="G1" s="3" t="s">
        <v>260</v>
      </c>
    </row>
    <row r="2" spans="1:7" ht="25.05" customHeight="1">
      <c r="A2" s="2" t="s">
        <v>538</v>
      </c>
      <c r="B2" s="2" t="s">
        <v>147</v>
      </c>
      <c r="C2" s="7">
        <v>0.35</v>
      </c>
      <c r="D2" s="2" t="s">
        <v>539</v>
      </c>
      <c r="E2" s="2">
        <v>0.3</v>
      </c>
      <c r="F2" s="2">
        <v>-1</v>
      </c>
      <c r="G2" s="2">
        <v>-4</v>
      </c>
    </row>
    <row r="3" spans="1:7" ht="25.05" customHeight="1">
      <c r="A3" s="2" t="s">
        <v>540</v>
      </c>
      <c r="B3" s="2" t="s">
        <v>148</v>
      </c>
      <c r="C3" s="7">
        <v>0.35</v>
      </c>
      <c r="D3" s="2" t="s">
        <v>541</v>
      </c>
      <c r="E3" s="2">
        <v>0.3</v>
      </c>
      <c r="F3" s="2">
        <v>-2</v>
      </c>
      <c r="G3" s="2">
        <v>-3</v>
      </c>
    </row>
    <row r="4" spans="1:7" ht="25.05" customHeight="1">
      <c r="A4" s="2" t="s">
        <v>542</v>
      </c>
      <c r="B4" s="2" t="s">
        <v>149</v>
      </c>
      <c r="C4" s="7">
        <v>0.35</v>
      </c>
      <c r="D4" s="2" t="s">
        <v>543</v>
      </c>
      <c r="E4" s="2">
        <v>0.25</v>
      </c>
      <c r="F4" s="2">
        <v>-4</v>
      </c>
      <c r="G4" s="2">
        <v>-2</v>
      </c>
    </row>
    <row r="5" spans="1:7" ht="25.05" customHeight="1">
      <c r="A5" s="2" t="s">
        <v>544</v>
      </c>
      <c r="B5" s="2" t="s">
        <v>150</v>
      </c>
      <c r="C5" s="7">
        <v>0.35</v>
      </c>
      <c r="D5" s="2" t="s">
        <v>545</v>
      </c>
      <c r="E5" s="2">
        <v>0.3</v>
      </c>
      <c r="F5" s="2">
        <v>-4</v>
      </c>
      <c r="G5" s="2">
        <v>-1</v>
      </c>
    </row>
    <row r="6" spans="1:7" ht="25.05" customHeight="1">
      <c r="A6" s="2" t="s">
        <v>546</v>
      </c>
      <c r="B6" s="2" t="s">
        <v>151</v>
      </c>
      <c r="C6" s="7">
        <v>0.35</v>
      </c>
      <c r="D6" s="2" t="s">
        <v>545</v>
      </c>
      <c r="E6" s="2">
        <v>0.3</v>
      </c>
      <c r="F6" s="2">
        <v>-4</v>
      </c>
      <c r="G6" s="2">
        <v>-3</v>
      </c>
    </row>
    <row r="7" spans="1:7" ht="25.05" customHeight="1">
      <c r="A7" s="2" t="s">
        <v>547</v>
      </c>
      <c r="B7" s="2" t="s">
        <v>152</v>
      </c>
      <c r="C7" s="7">
        <v>0.35</v>
      </c>
      <c r="D7" s="2" t="s">
        <v>539</v>
      </c>
      <c r="E7" s="2">
        <v>0.3</v>
      </c>
      <c r="F7" s="2">
        <v>-1</v>
      </c>
      <c r="G7" s="2">
        <v>-5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4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3.8"/>
  <cols>
    <col min="1" max="1" width="23" customWidth="1"/>
    <col min="2" max="2" width="13" customWidth="1"/>
    <col min="3" max="3" width="17" customWidth="1"/>
    <col min="4" max="4" width="47" customWidth="1"/>
    <col min="5" max="5" width="13" customWidth="1"/>
    <col min="6" max="7" width="16" customWidth="1"/>
    <col min="8" max="8" width="17" customWidth="1"/>
    <col min="9" max="9" width="14" customWidth="1"/>
  </cols>
  <sheetData>
    <row r="1" spans="1:9" ht="15" customHeight="1">
      <c r="A1" s="3" t="s">
        <v>548</v>
      </c>
      <c r="B1" s="3" t="s">
        <v>42</v>
      </c>
      <c r="C1" s="3" t="s">
        <v>549</v>
      </c>
      <c r="D1" s="3" t="s">
        <v>550</v>
      </c>
      <c r="E1" s="3" t="s">
        <v>153</v>
      </c>
      <c r="F1" s="3" t="s">
        <v>154</v>
      </c>
      <c r="G1" s="3" t="s">
        <v>551</v>
      </c>
      <c r="H1" s="3" t="s">
        <v>93</v>
      </c>
      <c r="I1" s="3" t="s">
        <v>552</v>
      </c>
    </row>
    <row r="2" spans="1:9" ht="15" customHeight="1">
      <c r="A2" s="2" t="s">
        <v>553</v>
      </c>
      <c r="B2" s="2" t="s">
        <v>50</v>
      </c>
      <c r="C2" s="2" t="s">
        <v>554</v>
      </c>
      <c r="D2" s="4" t="s">
        <v>555</v>
      </c>
      <c r="E2" s="2">
        <v>8</v>
      </c>
      <c r="F2" s="2">
        <v>-3</v>
      </c>
      <c r="G2" s="2">
        <v>-5</v>
      </c>
      <c r="H2" s="2">
        <v>-1</v>
      </c>
      <c r="I2" s="2">
        <v>0</v>
      </c>
    </row>
    <row r="3" spans="1:9" ht="15" customHeight="1">
      <c r="A3" s="2" t="s">
        <v>556</v>
      </c>
      <c r="B3" s="2" t="s">
        <v>50</v>
      </c>
      <c r="C3" s="2" t="s">
        <v>554</v>
      </c>
      <c r="D3" s="4" t="s">
        <v>557</v>
      </c>
      <c r="E3" s="2">
        <v>7</v>
      </c>
      <c r="F3" s="2">
        <v>-3</v>
      </c>
      <c r="G3" s="2">
        <v>-7</v>
      </c>
      <c r="H3" s="2">
        <v>-1</v>
      </c>
      <c r="I3" s="2">
        <v>-3</v>
      </c>
    </row>
    <row r="4" spans="1:9" ht="15" customHeight="1">
      <c r="A4" s="2" t="s">
        <v>558</v>
      </c>
      <c r="B4" s="2" t="s">
        <v>50</v>
      </c>
      <c r="C4" s="2" t="s">
        <v>554</v>
      </c>
      <c r="D4" s="4" t="s">
        <v>559</v>
      </c>
      <c r="E4" s="2">
        <v>3</v>
      </c>
      <c r="F4" s="2">
        <v>-2</v>
      </c>
      <c r="G4" s="2">
        <v>-5</v>
      </c>
      <c r="H4" s="2">
        <v>-1</v>
      </c>
      <c r="I4" s="2">
        <v>-6</v>
      </c>
    </row>
    <row r="5" spans="1:9" ht="15" customHeight="1">
      <c r="A5" s="2" t="s">
        <v>560</v>
      </c>
      <c r="B5" s="2" t="s">
        <v>50</v>
      </c>
      <c r="C5" s="2" t="s">
        <v>554</v>
      </c>
      <c r="D5" s="4" t="s">
        <v>561</v>
      </c>
      <c r="E5" s="2">
        <v>2</v>
      </c>
      <c r="F5" s="2">
        <v>-1</v>
      </c>
      <c r="G5" s="2">
        <v>-2</v>
      </c>
      <c r="H5" s="2">
        <v>-5</v>
      </c>
      <c r="I5" s="2">
        <v>0</v>
      </c>
    </row>
    <row r="6" spans="1:9" ht="15" customHeight="1">
      <c r="A6" s="2" t="s">
        <v>562</v>
      </c>
      <c r="B6" s="2" t="s">
        <v>50</v>
      </c>
      <c r="C6" s="2" t="s">
        <v>554</v>
      </c>
      <c r="D6" s="4" t="s">
        <v>563</v>
      </c>
      <c r="E6" s="2">
        <v>1</v>
      </c>
      <c r="F6" s="2">
        <v>-1</v>
      </c>
      <c r="G6" s="2">
        <v>-2</v>
      </c>
      <c r="H6" s="2">
        <v>-7</v>
      </c>
      <c r="I6" s="2">
        <v>0</v>
      </c>
    </row>
    <row r="7" spans="1:9" ht="15" customHeight="1">
      <c r="A7" s="2" t="s">
        <v>564</v>
      </c>
      <c r="B7" s="2" t="s">
        <v>50</v>
      </c>
      <c r="C7" s="2" t="s">
        <v>554</v>
      </c>
      <c r="D7" s="4" t="s">
        <v>565</v>
      </c>
      <c r="E7" s="2">
        <v>-2</v>
      </c>
      <c r="F7" s="2">
        <v>3</v>
      </c>
      <c r="G7" s="2">
        <v>3</v>
      </c>
      <c r="H7" s="2">
        <v>2</v>
      </c>
      <c r="I7" s="2">
        <v>-1</v>
      </c>
    </row>
    <row r="8" spans="1:9" ht="15" customHeight="1">
      <c r="A8" s="2" t="s">
        <v>566</v>
      </c>
      <c r="B8" s="2" t="s">
        <v>50</v>
      </c>
      <c r="C8" s="2" t="s">
        <v>554</v>
      </c>
      <c r="D8" s="4" t="s">
        <v>567</v>
      </c>
      <c r="E8" s="2">
        <v>0</v>
      </c>
      <c r="F8" s="2">
        <v>0</v>
      </c>
      <c r="G8" s="2">
        <v>0</v>
      </c>
      <c r="H8" s="2">
        <v>0</v>
      </c>
      <c r="I8" s="2">
        <v>0</v>
      </c>
    </row>
    <row r="9" spans="1:9" ht="15" customHeight="1">
      <c r="A9" s="2" t="s">
        <v>568</v>
      </c>
      <c r="B9" s="2" t="s">
        <v>50</v>
      </c>
      <c r="C9" s="2" t="s">
        <v>554</v>
      </c>
      <c r="D9" s="4" t="s">
        <v>569</v>
      </c>
      <c r="E9" s="2">
        <v>0</v>
      </c>
      <c r="F9" s="2">
        <v>0</v>
      </c>
      <c r="G9" s="2">
        <v>0</v>
      </c>
      <c r="H9" s="2">
        <v>0</v>
      </c>
      <c r="I9" s="2">
        <v>0</v>
      </c>
    </row>
    <row r="10" spans="1:9" ht="15" customHeight="1">
      <c r="A10" s="2" t="s">
        <v>570</v>
      </c>
      <c r="B10" s="2" t="s">
        <v>50</v>
      </c>
      <c r="C10" s="2" t="s">
        <v>571</v>
      </c>
      <c r="D10" s="4" t="s">
        <v>572</v>
      </c>
      <c r="E10" s="2">
        <v>12</v>
      </c>
      <c r="F10" s="2">
        <v>-6</v>
      </c>
      <c r="G10" s="2">
        <v>-9</v>
      </c>
      <c r="H10" s="2">
        <v>-3</v>
      </c>
      <c r="I10" s="2">
        <v>-2</v>
      </c>
    </row>
    <row r="11" spans="1:9" ht="15" customHeight="1">
      <c r="A11" s="2" t="s">
        <v>573</v>
      </c>
      <c r="B11" s="2" t="s">
        <v>50</v>
      </c>
      <c r="C11" s="2" t="s">
        <v>571</v>
      </c>
      <c r="D11" s="4" t="s">
        <v>574</v>
      </c>
      <c r="E11" s="2">
        <v>10</v>
      </c>
      <c r="F11" s="2">
        <v>-5</v>
      </c>
      <c r="G11" s="2">
        <v>-11</v>
      </c>
      <c r="H11" s="2">
        <v>-2</v>
      </c>
      <c r="I11" s="2">
        <v>-5</v>
      </c>
    </row>
    <row r="12" spans="1:9" ht="15" customHeight="1">
      <c r="A12" s="2" t="s">
        <v>575</v>
      </c>
      <c r="B12" s="2" t="s">
        <v>50</v>
      </c>
      <c r="C12" s="2" t="s">
        <v>571</v>
      </c>
      <c r="D12" s="4" t="s">
        <v>576</v>
      </c>
      <c r="E12" s="2">
        <v>7</v>
      </c>
      <c r="F12" s="2">
        <v>-4</v>
      </c>
      <c r="G12" s="2">
        <v>-7</v>
      </c>
      <c r="H12" s="2">
        <v>-2</v>
      </c>
      <c r="I12" s="2">
        <v>-8</v>
      </c>
    </row>
    <row r="13" spans="1:9" ht="15" customHeight="1">
      <c r="A13" s="2" t="s">
        <v>577</v>
      </c>
      <c r="B13" s="2" t="s">
        <v>50</v>
      </c>
      <c r="C13" s="2" t="s">
        <v>571</v>
      </c>
      <c r="D13" s="4" t="s">
        <v>578</v>
      </c>
      <c r="E13" s="2">
        <v>14</v>
      </c>
      <c r="F13" s="2">
        <v>-8</v>
      </c>
      <c r="G13" s="2">
        <v>-6</v>
      </c>
      <c r="H13" s="2">
        <v>-5</v>
      </c>
      <c r="I13" s="2">
        <v>-3</v>
      </c>
    </row>
    <row r="14" spans="1:9" ht="15" customHeight="1">
      <c r="A14" s="2" t="s">
        <v>579</v>
      </c>
      <c r="B14" s="2" t="s">
        <v>51</v>
      </c>
      <c r="C14" s="2" t="s">
        <v>554</v>
      </c>
      <c r="D14" s="4" t="s">
        <v>580</v>
      </c>
      <c r="E14" s="2">
        <v>5</v>
      </c>
      <c r="F14" s="2">
        <v>-3</v>
      </c>
      <c r="G14" s="2">
        <v>-8</v>
      </c>
      <c r="H14" s="2">
        <v>-2</v>
      </c>
      <c r="I14" s="2">
        <v>-2</v>
      </c>
    </row>
    <row r="15" spans="1:9" ht="15" customHeight="1">
      <c r="A15" s="2" t="s">
        <v>581</v>
      </c>
      <c r="B15" s="2" t="s">
        <v>51</v>
      </c>
      <c r="C15" s="2" t="s">
        <v>554</v>
      </c>
      <c r="D15" s="4" t="s">
        <v>582</v>
      </c>
      <c r="E15" s="2">
        <v>10</v>
      </c>
      <c r="F15" s="2">
        <v>-5</v>
      </c>
      <c r="G15" s="2">
        <v>-6</v>
      </c>
      <c r="H15" s="2">
        <v>-4</v>
      </c>
      <c r="I15" s="2">
        <v>-3</v>
      </c>
    </row>
    <row r="16" spans="1:9" ht="15" customHeight="1">
      <c r="A16" s="2" t="s">
        <v>583</v>
      </c>
      <c r="B16" s="2" t="s">
        <v>51</v>
      </c>
      <c r="C16" s="2" t="s">
        <v>554</v>
      </c>
      <c r="D16" s="4" t="s">
        <v>584</v>
      </c>
      <c r="E16" s="2">
        <v>7</v>
      </c>
      <c r="F16" s="2">
        <v>-5</v>
      </c>
      <c r="G16" s="2">
        <v>-9</v>
      </c>
      <c r="H16" s="2">
        <v>-2</v>
      </c>
      <c r="I16" s="2">
        <v>-5</v>
      </c>
    </row>
    <row r="17" spans="1:9" ht="15" customHeight="1">
      <c r="A17" s="2" t="s">
        <v>585</v>
      </c>
      <c r="B17" s="2" t="s">
        <v>51</v>
      </c>
      <c r="C17" s="2" t="s">
        <v>554</v>
      </c>
      <c r="D17" s="4" t="s">
        <v>586</v>
      </c>
      <c r="E17" s="2">
        <v>3</v>
      </c>
      <c r="F17" s="2">
        <v>-2</v>
      </c>
      <c r="G17" s="2">
        <v>-4</v>
      </c>
      <c r="H17" s="2">
        <v>-2</v>
      </c>
      <c r="I17" s="2">
        <v>-9</v>
      </c>
    </row>
    <row r="18" spans="1:9" ht="15" customHeight="1">
      <c r="A18" s="2" t="s">
        <v>587</v>
      </c>
      <c r="B18" s="2" t="s">
        <v>51</v>
      </c>
      <c r="C18" s="2" t="s">
        <v>554</v>
      </c>
      <c r="D18" s="4" t="s">
        <v>588</v>
      </c>
      <c r="E18" s="2">
        <v>-2</v>
      </c>
      <c r="F18" s="2">
        <v>2</v>
      </c>
      <c r="G18" s="2">
        <v>3</v>
      </c>
      <c r="H18" s="2">
        <v>3</v>
      </c>
      <c r="I18" s="2">
        <v>0</v>
      </c>
    </row>
    <row r="19" spans="1:9" ht="15" customHeight="1">
      <c r="A19" s="2" t="s">
        <v>589</v>
      </c>
      <c r="B19" s="2" t="s">
        <v>51</v>
      </c>
      <c r="C19" s="2" t="s">
        <v>554</v>
      </c>
      <c r="D19" s="4" t="s">
        <v>590</v>
      </c>
      <c r="E19" s="2">
        <v>-2</v>
      </c>
      <c r="F19" s="2">
        <v>3</v>
      </c>
      <c r="G19" s="2">
        <v>2</v>
      </c>
      <c r="H19" s="2">
        <v>2</v>
      </c>
      <c r="I19" s="2">
        <v>-1</v>
      </c>
    </row>
    <row r="20" spans="1:9" ht="15" customHeight="1">
      <c r="A20" s="2" t="s">
        <v>591</v>
      </c>
      <c r="B20" s="2" t="s">
        <v>51</v>
      </c>
      <c r="C20" s="2" t="s">
        <v>554</v>
      </c>
      <c r="D20" s="4" t="s">
        <v>592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</row>
    <row r="21" spans="1:9" ht="15" customHeight="1">
      <c r="A21" s="2" t="s">
        <v>593</v>
      </c>
      <c r="B21" s="2" t="s">
        <v>51</v>
      </c>
      <c r="C21" s="2" t="s">
        <v>554</v>
      </c>
      <c r="D21" s="4" t="s">
        <v>594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</row>
    <row r="22" spans="1:9" ht="15" customHeight="1">
      <c r="A22" s="2" t="s">
        <v>595</v>
      </c>
      <c r="B22" s="2" t="s">
        <v>51</v>
      </c>
      <c r="C22" s="2" t="s">
        <v>571</v>
      </c>
      <c r="D22" s="4" t="s">
        <v>596</v>
      </c>
      <c r="E22" s="2">
        <v>14</v>
      </c>
      <c r="F22" s="2">
        <v>-8</v>
      </c>
      <c r="G22" s="2">
        <v>-9</v>
      </c>
      <c r="H22" s="2">
        <v>-3</v>
      </c>
      <c r="I22" s="2">
        <v>-5</v>
      </c>
    </row>
    <row r="23" spans="1:9" ht="15" customHeight="1">
      <c r="A23" s="2" t="s">
        <v>597</v>
      </c>
      <c r="B23" s="2" t="s">
        <v>51</v>
      </c>
      <c r="C23" s="2" t="s">
        <v>571</v>
      </c>
      <c r="D23" s="4" t="s">
        <v>598</v>
      </c>
      <c r="E23" s="2">
        <v>8</v>
      </c>
      <c r="F23" s="2">
        <v>-6</v>
      </c>
      <c r="G23" s="2">
        <v>-12</v>
      </c>
      <c r="H23" s="2">
        <v>-2</v>
      </c>
      <c r="I23" s="2">
        <v>-7</v>
      </c>
    </row>
    <row r="24" spans="1:9" ht="15" customHeight="1">
      <c r="A24" s="2" t="s">
        <v>599</v>
      </c>
      <c r="B24" s="2" t="s">
        <v>51</v>
      </c>
      <c r="C24" s="2" t="s">
        <v>571</v>
      </c>
      <c r="D24" s="4" t="s">
        <v>600</v>
      </c>
      <c r="E24" s="2">
        <v>11</v>
      </c>
      <c r="F24" s="2">
        <v>-5</v>
      </c>
      <c r="G24" s="2">
        <v>-10</v>
      </c>
      <c r="H24" s="2">
        <v>-4</v>
      </c>
      <c r="I24" s="2">
        <v>-6</v>
      </c>
    </row>
    <row r="25" spans="1:9" ht="15" customHeight="1">
      <c r="A25" s="2" t="s">
        <v>601</v>
      </c>
      <c r="B25" s="2" t="s">
        <v>51</v>
      </c>
      <c r="C25" s="2" t="s">
        <v>571</v>
      </c>
      <c r="D25" s="4" t="s">
        <v>602</v>
      </c>
      <c r="E25" s="2">
        <v>7</v>
      </c>
      <c r="F25" s="2">
        <v>-7</v>
      </c>
      <c r="G25" s="2">
        <v>-13</v>
      </c>
      <c r="H25" s="2">
        <v>-3</v>
      </c>
      <c r="I25" s="2">
        <v>-4</v>
      </c>
    </row>
    <row r="26" spans="1:9" ht="15" customHeight="1">
      <c r="A26" s="2" t="s">
        <v>603</v>
      </c>
      <c r="B26" s="2" t="s">
        <v>52</v>
      </c>
      <c r="C26" s="2" t="s">
        <v>554</v>
      </c>
      <c r="D26" s="4" t="s">
        <v>604</v>
      </c>
      <c r="E26" s="2">
        <v>1</v>
      </c>
      <c r="F26" s="2">
        <v>-1</v>
      </c>
      <c r="G26" s="2">
        <v>-1</v>
      </c>
      <c r="H26" s="2">
        <v>-6</v>
      </c>
      <c r="I26" s="2">
        <v>-2</v>
      </c>
    </row>
    <row r="27" spans="1:9" ht="15" customHeight="1">
      <c r="A27" s="2" t="s">
        <v>605</v>
      </c>
      <c r="B27" s="2" t="s">
        <v>52</v>
      </c>
      <c r="C27" s="2" t="s">
        <v>554</v>
      </c>
      <c r="D27" s="4" t="s">
        <v>606</v>
      </c>
      <c r="E27" s="2">
        <v>2</v>
      </c>
      <c r="F27" s="2">
        <v>-1</v>
      </c>
      <c r="G27" s="2">
        <v>-3</v>
      </c>
      <c r="H27" s="2">
        <v>-7</v>
      </c>
      <c r="I27" s="2">
        <v>0</v>
      </c>
    </row>
    <row r="28" spans="1:9" ht="15" customHeight="1">
      <c r="A28" s="2" t="s">
        <v>607</v>
      </c>
      <c r="B28" s="2" t="s">
        <v>52</v>
      </c>
      <c r="C28" s="2" t="s">
        <v>554</v>
      </c>
      <c r="D28" s="4" t="s">
        <v>608</v>
      </c>
      <c r="E28" s="2">
        <v>3</v>
      </c>
      <c r="F28" s="2">
        <v>-4</v>
      </c>
      <c r="G28" s="2">
        <v>-1</v>
      </c>
      <c r="H28" s="2">
        <v>-1</v>
      </c>
      <c r="I28" s="2">
        <v>0</v>
      </c>
    </row>
    <row r="29" spans="1:9" ht="15" customHeight="1">
      <c r="A29" s="2" t="s">
        <v>609</v>
      </c>
      <c r="B29" s="2" t="s">
        <v>52</v>
      </c>
      <c r="C29" s="2" t="s">
        <v>554</v>
      </c>
      <c r="D29" s="4" t="s">
        <v>610</v>
      </c>
      <c r="E29" s="2">
        <v>5</v>
      </c>
      <c r="F29" s="2">
        <v>1</v>
      </c>
      <c r="G29" s="2">
        <v>-1</v>
      </c>
      <c r="H29" s="2">
        <v>-1</v>
      </c>
      <c r="I29" s="2">
        <v>0</v>
      </c>
    </row>
    <row r="30" spans="1:9" ht="15" customHeight="1">
      <c r="A30" s="2" t="s">
        <v>611</v>
      </c>
      <c r="B30" s="2" t="s">
        <v>52</v>
      </c>
      <c r="C30" s="2" t="s">
        <v>554</v>
      </c>
      <c r="D30" s="4" t="s">
        <v>612</v>
      </c>
      <c r="E30" s="2">
        <v>-1</v>
      </c>
      <c r="F30" s="2">
        <v>2</v>
      </c>
      <c r="G30" s="2">
        <v>2</v>
      </c>
      <c r="H30" s="2">
        <v>1</v>
      </c>
      <c r="I30" s="2">
        <v>5</v>
      </c>
    </row>
    <row r="31" spans="1:9" ht="15" customHeight="1">
      <c r="A31" s="2" t="s">
        <v>613</v>
      </c>
      <c r="B31" s="2" t="s">
        <v>52</v>
      </c>
      <c r="C31" s="2" t="s">
        <v>554</v>
      </c>
      <c r="D31" s="4" t="s">
        <v>614</v>
      </c>
      <c r="E31" s="2">
        <v>-2</v>
      </c>
      <c r="F31" s="2">
        <v>4</v>
      </c>
      <c r="G31" s="2">
        <v>1</v>
      </c>
      <c r="H31" s="2">
        <v>2</v>
      </c>
      <c r="I31" s="2">
        <v>-2</v>
      </c>
    </row>
    <row r="32" spans="1:9" ht="15" customHeight="1">
      <c r="A32" s="2" t="s">
        <v>615</v>
      </c>
      <c r="B32" s="2" t="s">
        <v>52</v>
      </c>
      <c r="C32" s="2" t="s">
        <v>554</v>
      </c>
      <c r="D32" s="4" t="s">
        <v>616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</row>
    <row r="33" spans="1:9" ht="15" customHeight="1">
      <c r="A33" s="2" t="s">
        <v>617</v>
      </c>
      <c r="B33" s="2" t="s">
        <v>52</v>
      </c>
      <c r="C33" s="2" t="s">
        <v>554</v>
      </c>
      <c r="D33" s="4" t="s">
        <v>618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</row>
    <row r="34" spans="1:9" ht="15" customHeight="1">
      <c r="A34" s="2" t="s">
        <v>619</v>
      </c>
      <c r="B34" s="2" t="s">
        <v>52</v>
      </c>
      <c r="C34" s="2" t="s">
        <v>571</v>
      </c>
      <c r="D34" s="4" t="s">
        <v>620</v>
      </c>
      <c r="E34" s="2">
        <v>7</v>
      </c>
      <c r="F34" s="2">
        <v>-4</v>
      </c>
      <c r="G34" s="2">
        <v>-5</v>
      </c>
      <c r="H34" s="2">
        <v>-2</v>
      </c>
      <c r="I34" s="2">
        <v>-1</v>
      </c>
    </row>
    <row r="35" spans="1:9" ht="15" customHeight="1">
      <c r="A35" s="2" t="s">
        <v>621</v>
      </c>
      <c r="B35" s="2" t="s">
        <v>52</v>
      </c>
      <c r="C35" s="2" t="s">
        <v>571</v>
      </c>
      <c r="D35" s="4" t="s">
        <v>622</v>
      </c>
      <c r="E35" s="2">
        <v>2</v>
      </c>
      <c r="F35" s="2">
        <v>-2</v>
      </c>
      <c r="G35" s="2">
        <v>-2</v>
      </c>
      <c r="H35" s="2">
        <v>-8</v>
      </c>
      <c r="I35" s="2">
        <v>-6</v>
      </c>
    </row>
    <row r="36" spans="1:9" ht="15" customHeight="1">
      <c r="A36" s="2" t="s">
        <v>623</v>
      </c>
      <c r="B36" s="2" t="s">
        <v>52</v>
      </c>
      <c r="C36" s="2" t="s">
        <v>571</v>
      </c>
      <c r="D36" s="4" t="s">
        <v>624</v>
      </c>
      <c r="E36" s="2">
        <v>9</v>
      </c>
      <c r="F36" s="2">
        <v>-3</v>
      </c>
      <c r="G36" s="2">
        <v>-5</v>
      </c>
      <c r="H36" s="2">
        <v>-2</v>
      </c>
      <c r="I36" s="2">
        <v>-2</v>
      </c>
    </row>
    <row r="37" spans="1:9" ht="15" customHeight="1">
      <c r="A37" s="2" t="s">
        <v>625</v>
      </c>
      <c r="B37" s="2" t="s">
        <v>52</v>
      </c>
      <c r="C37" s="2" t="s">
        <v>571</v>
      </c>
      <c r="D37" s="4" t="s">
        <v>626</v>
      </c>
      <c r="E37" s="2">
        <v>5</v>
      </c>
      <c r="F37" s="2">
        <v>-4</v>
      </c>
      <c r="G37" s="2">
        <v>-4</v>
      </c>
      <c r="H37" s="2">
        <v>-9</v>
      </c>
      <c r="I37" s="2">
        <v>-3</v>
      </c>
    </row>
    <row r="38" spans="1:9" ht="15" customHeight="1">
      <c r="A38" s="2" t="s">
        <v>627</v>
      </c>
      <c r="B38" s="2" t="s">
        <v>53</v>
      </c>
      <c r="C38" s="2" t="s">
        <v>554</v>
      </c>
      <c r="D38" s="4" t="s">
        <v>628</v>
      </c>
      <c r="E38" s="2">
        <v>7</v>
      </c>
      <c r="F38" s="2">
        <v>-4</v>
      </c>
      <c r="G38" s="2">
        <v>-4</v>
      </c>
      <c r="H38" s="2">
        <v>-2</v>
      </c>
      <c r="I38" s="2">
        <v>0</v>
      </c>
    </row>
    <row r="39" spans="1:9" ht="15" customHeight="1">
      <c r="A39" s="2" t="s">
        <v>629</v>
      </c>
      <c r="B39" s="2" t="s">
        <v>53</v>
      </c>
      <c r="C39" s="2" t="s">
        <v>554</v>
      </c>
      <c r="D39" s="4" t="s">
        <v>630</v>
      </c>
      <c r="E39" s="2">
        <v>6</v>
      </c>
      <c r="F39" s="2">
        <v>-5</v>
      </c>
      <c r="G39" s="2">
        <v>-3</v>
      </c>
      <c r="H39" s="2">
        <v>-2</v>
      </c>
      <c r="I39" s="2">
        <v>-1</v>
      </c>
    </row>
    <row r="40" spans="1:9" ht="15" customHeight="1">
      <c r="A40" s="2" t="s">
        <v>631</v>
      </c>
      <c r="B40" s="2" t="s">
        <v>53</v>
      </c>
      <c r="C40" s="2" t="s">
        <v>554</v>
      </c>
      <c r="D40" s="4" t="s">
        <v>632</v>
      </c>
      <c r="E40" s="2">
        <v>5</v>
      </c>
      <c r="F40" s="2">
        <v>-3</v>
      </c>
      <c r="G40" s="2">
        <v>-5</v>
      </c>
      <c r="H40" s="2">
        <v>-2</v>
      </c>
      <c r="I40" s="2">
        <v>0</v>
      </c>
    </row>
    <row r="41" spans="1:9" ht="15" customHeight="1">
      <c r="A41" s="2" t="s">
        <v>633</v>
      </c>
      <c r="B41" s="2" t="s">
        <v>53</v>
      </c>
      <c r="C41" s="2" t="s">
        <v>554</v>
      </c>
      <c r="D41" s="4" t="s">
        <v>634</v>
      </c>
      <c r="E41" s="2">
        <v>3</v>
      </c>
      <c r="F41" s="2">
        <v>-4</v>
      </c>
      <c r="G41" s="2">
        <v>-2</v>
      </c>
      <c r="H41" s="2">
        <v>-2</v>
      </c>
      <c r="I41" s="2">
        <v>0</v>
      </c>
    </row>
    <row r="42" spans="1:9" ht="15" customHeight="1">
      <c r="A42" s="2" t="s">
        <v>635</v>
      </c>
      <c r="B42" s="2" t="s">
        <v>53</v>
      </c>
      <c r="C42" s="2" t="s">
        <v>554</v>
      </c>
      <c r="D42" s="4" t="s">
        <v>636</v>
      </c>
      <c r="E42" s="2">
        <v>-2</v>
      </c>
      <c r="F42" s="2">
        <v>3</v>
      </c>
      <c r="G42" s="2">
        <v>1</v>
      </c>
      <c r="H42" s="2">
        <v>3</v>
      </c>
      <c r="I42" s="2">
        <v>-1</v>
      </c>
    </row>
    <row r="43" spans="1:9" ht="15" customHeight="1">
      <c r="A43" s="2" t="s">
        <v>637</v>
      </c>
      <c r="B43" s="2" t="s">
        <v>53</v>
      </c>
      <c r="C43" s="2" t="s">
        <v>554</v>
      </c>
      <c r="D43" s="4" t="s">
        <v>638</v>
      </c>
      <c r="E43" s="2">
        <v>-3</v>
      </c>
      <c r="F43" s="2">
        <v>4</v>
      </c>
      <c r="G43" s="2">
        <v>1</v>
      </c>
      <c r="H43" s="2">
        <v>2</v>
      </c>
      <c r="I43" s="2">
        <v>-2</v>
      </c>
    </row>
    <row r="44" spans="1:9" ht="15" customHeight="1">
      <c r="A44" s="2" t="s">
        <v>639</v>
      </c>
      <c r="B44" s="2" t="s">
        <v>53</v>
      </c>
      <c r="C44" s="2" t="s">
        <v>554</v>
      </c>
      <c r="D44" s="4" t="s">
        <v>640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</row>
    <row r="45" spans="1:9" ht="15" customHeight="1">
      <c r="A45" s="2" t="s">
        <v>641</v>
      </c>
      <c r="B45" s="2" t="s">
        <v>53</v>
      </c>
      <c r="C45" s="2" t="s">
        <v>554</v>
      </c>
      <c r="D45" s="4" t="s">
        <v>642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</row>
    <row r="46" spans="1:9" ht="15" customHeight="1">
      <c r="A46" s="2" t="s">
        <v>643</v>
      </c>
      <c r="B46" s="2" t="s">
        <v>53</v>
      </c>
      <c r="C46" s="2" t="s">
        <v>571</v>
      </c>
      <c r="D46" s="4" t="s">
        <v>644</v>
      </c>
      <c r="E46" s="2">
        <v>10</v>
      </c>
      <c r="F46" s="2">
        <v>-7</v>
      </c>
      <c r="G46" s="2">
        <v>-7</v>
      </c>
      <c r="H46" s="2">
        <v>-3</v>
      </c>
      <c r="I46" s="2">
        <v>-2</v>
      </c>
    </row>
    <row r="47" spans="1:9" ht="15" customHeight="1">
      <c r="A47" s="2" t="s">
        <v>645</v>
      </c>
      <c r="B47" s="2" t="s">
        <v>53</v>
      </c>
      <c r="C47" s="2" t="s">
        <v>571</v>
      </c>
      <c r="D47" s="4" t="s">
        <v>646</v>
      </c>
      <c r="E47" s="2">
        <v>7</v>
      </c>
      <c r="F47" s="2">
        <v>-6</v>
      </c>
      <c r="G47" s="2">
        <v>-5</v>
      </c>
      <c r="H47" s="2">
        <v>-2</v>
      </c>
      <c r="I47" s="2">
        <v>-4</v>
      </c>
    </row>
    <row r="48" spans="1:9" ht="15" customHeight="1">
      <c r="A48" s="2" t="s">
        <v>647</v>
      </c>
      <c r="B48" s="2" t="s">
        <v>53</v>
      </c>
      <c r="C48" s="2" t="s">
        <v>571</v>
      </c>
      <c r="D48" s="4" t="s">
        <v>648</v>
      </c>
      <c r="E48" s="2">
        <v>12</v>
      </c>
      <c r="F48" s="2">
        <v>-5</v>
      </c>
      <c r="G48" s="2">
        <v>-9</v>
      </c>
      <c r="H48" s="2">
        <v>-4</v>
      </c>
      <c r="I48" s="2">
        <v>-2</v>
      </c>
    </row>
    <row r="49" spans="1:9" ht="15" customHeight="1">
      <c r="A49" s="2" t="s">
        <v>649</v>
      </c>
      <c r="B49" s="2" t="s">
        <v>53</v>
      </c>
      <c r="C49" s="2" t="s">
        <v>571</v>
      </c>
      <c r="D49" s="4" t="s">
        <v>650</v>
      </c>
      <c r="E49" s="2">
        <v>11</v>
      </c>
      <c r="F49" s="2">
        <v>-8</v>
      </c>
      <c r="G49" s="2">
        <v>-8</v>
      </c>
      <c r="H49" s="2">
        <v>-5</v>
      </c>
      <c r="I49" s="2">
        <v>-3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7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3.8"/>
  <cols>
    <col min="1" max="1" width="88" customWidth="1"/>
    <col min="2" max="2" width="75" customWidth="1"/>
  </cols>
  <sheetData>
    <row r="1" spans="1:2" ht="15" customHeight="1">
      <c r="A1" s="3" t="s">
        <v>651</v>
      </c>
      <c r="B1" s="3" t="s">
        <v>652</v>
      </c>
    </row>
    <row r="2" spans="1:2" ht="15" customHeight="1">
      <c r="A2" s="4" t="s">
        <v>653</v>
      </c>
      <c r="B2" s="4" t="s">
        <v>654</v>
      </c>
    </row>
    <row r="3" spans="1:2" ht="15" customHeight="1">
      <c r="A3" s="4" t="s">
        <v>655</v>
      </c>
      <c r="B3" s="4">
        <v>0.4</v>
      </c>
    </row>
    <row r="4" spans="1:2" ht="15" customHeight="1">
      <c r="A4" s="4" t="s">
        <v>656</v>
      </c>
      <c r="B4" s="4">
        <v>0.2</v>
      </c>
    </row>
    <row r="5" spans="1:2" ht="15" customHeight="1">
      <c r="A5" s="4" t="s">
        <v>657</v>
      </c>
      <c r="B5" s="4">
        <v>0.1</v>
      </c>
    </row>
    <row r="6" spans="1:2" ht="15" customHeight="1">
      <c r="A6" s="4" t="s">
        <v>658</v>
      </c>
      <c r="B6" s="4">
        <v>0</v>
      </c>
    </row>
    <row r="7" spans="1:2" ht="15" customHeight="1">
      <c r="A7" s="4" t="s">
        <v>659</v>
      </c>
      <c r="B7" s="4">
        <v>0</v>
      </c>
    </row>
    <row r="8" spans="1:2" ht="15" customHeight="1">
      <c r="A8" s="4" t="s">
        <v>660</v>
      </c>
      <c r="B8" s="4">
        <v>0</v>
      </c>
    </row>
    <row r="9" spans="1:2" ht="15" customHeight="1">
      <c r="A9" s="4" t="s">
        <v>661</v>
      </c>
      <c r="B9" s="4">
        <v>1</v>
      </c>
    </row>
    <row r="10" spans="1:2" ht="15" customHeight="1">
      <c r="A10" s="4" t="s">
        <v>662</v>
      </c>
      <c r="B10" s="4">
        <v>3</v>
      </c>
    </row>
    <row r="11" spans="1:2" ht="15" customHeight="1">
      <c r="A11" s="4" t="s">
        <v>663</v>
      </c>
      <c r="B11" s="4">
        <v>6</v>
      </c>
    </row>
    <row r="12" spans="1:2" ht="15" customHeight="1">
      <c r="A12" s="4" t="s">
        <v>664</v>
      </c>
      <c r="B12" s="4">
        <v>10</v>
      </c>
    </row>
    <row r="13" spans="1:2" ht="15" customHeight="1">
      <c r="A13" s="4" t="s">
        <v>665</v>
      </c>
      <c r="B13" s="4">
        <v>0.5</v>
      </c>
    </row>
    <row r="14" spans="1:2" ht="15" customHeight="1">
      <c r="A14" s="4" t="s">
        <v>666</v>
      </c>
      <c r="B14" s="4">
        <v>4</v>
      </c>
    </row>
    <row r="15" spans="1:2" ht="15" customHeight="1">
      <c r="A15" s="4" t="s">
        <v>667</v>
      </c>
      <c r="B15" s="4">
        <v>0.18</v>
      </c>
    </row>
    <row r="16" spans="1:2" ht="15" customHeight="1">
      <c r="A16" s="4" t="s">
        <v>668</v>
      </c>
      <c r="B16" s="4">
        <v>1.5</v>
      </c>
    </row>
    <row r="17" spans="1:2" ht="15" customHeight="1">
      <c r="A17" s="4" t="s">
        <v>669</v>
      </c>
      <c r="B17" s="4">
        <v>0</v>
      </c>
    </row>
    <row r="18" spans="1:2" ht="15" customHeight="1">
      <c r="A18" s="4" t="s">
        <v>670</v>
      </c>
      <c r="B18" s="4">
        <v>0.75</v>
      </c>
    </row>
    <row r="19" spans="1:2" ht="15" customHeight="1">
      <c r="A19" s="4" t="s">
        <v>671</v>
      </c>
      <c r="B19" s="4">
        <v>1</v>
      </c>
    </row>
    <row r="20" spans="1:2" ht="15" customHeight="1">
      <c r="A20" s="4" t="s">
        <v>672</v>
      </c>
      <c r="B20" s="4">
        <v>1</v>
      </c>
    </row>
    <row r="21" spans="1:2" ht="15" customHeight="1">
      <c r="A21" s="4" t="s">
        <v>673</v>
      </c>
      <c r="B21" s="4">
        <v>0.75</v>
      </c>
    </row>
    <row r="22" spans="1:2" ht="15" customHeight="1">
      <c r="A22" s="4" t="s">
        <v>674</v>
      </c>
      <c r="B22" s="4">
        <v>0.5</v>
      </c>
    </row>
    <row r="23" spans="1:2" ht="15" customHeight="1">
      <c r="A23" s="4" t="s">
        <v>675</v>
      </c>
      <c r="B23" s="4">
        <v>0.25</v>
      </c>
    </row>
    <row r="24" spans="1:2" ht="15" customHeight="1">
      <c r="A24" s="4" t="s">
        <v>676</v>
      </c>
      <c r="B24" s="4">
        <v>0.1</v>
      </c>
    </row>
    <row r="25" spans="1:2" ht="15" customHeight="1">
      <c r="A25" s="4" t="s">
        <v>677</v>
      </c>
      <c r="B25" s="4">
        <v>0.5</v>
      </c>
    </row>
    <row r="26" spans="1:2" ht="15" customHeight="1">
      <c r="A26" s="4" t="s">
        <v>678</v>
      </c>
      <c r="B26" s="4">
        <v>0.25</v>
      </c>
    </row>
    <row r="27" spans="1:2" ht="15" customHeight="1">
      <c r="A27" s="4" t="s">
        <v>679</v>
      </c>
      <c r="B27" s="4">
        <v>8</v>
      </c>
    </row>
    <row r="28" spans="1:2" ht="15" customHeight="1">
      <c r="A28" s="4" t="s">
        <v>680</v>
      </c>
      <c r="B28" s="4">
        <v>10</v>
      </c>
    </row>
    <row r="29" spans="1:2" ht="15" customHeight="1">
      <c r="A29" s="4" t="s">
        <v>681</v>
      </c>
      <c r="B29" s="4" t="s">
        <v>682</v>
      </c>
    </row>
    <row r="30" spans="1:2" ht="15" customHeight="1">
      <c r="A30" s="4" t="s">
        <v>683</v>
      </c>
      <c r="B30" s="4">
        <v>22</v>
      </c>
    </row>
    <row r="31" spans="1:2" ht="15" customHeight="1">
      <c r="A31" s="4" t="s">
        <v>684</v>
      </c>
      <c r="B31" s="4">
        <v>27</v>
      </c>
    </row>
    <row r="32" spans="1:2" ht="15" customHeight="1">
      <c r="A32" s="4" t="s">
        <v>685</v>
      </c>
      <c r="B32" s="4">
        <v>8</v>
      </c>
    </row>
    <row r="33" spans="1:2" ht="15" customHeight="1">
      <c r="A33" s="4" t="s">
        <v>686</v>
      </c>
      <c r="B33" s="4">
        <v>11</v>
      </c>
    </row>
    <row r="34" spans="1:2" ht="15" customHeight="1">
      <c r="A34" s="4" t="s">
        <v>687</v>
      </c>
      <c r="B34" s="4">
        <v>0.7</v>
      </c>
    </row>
    <row r="35" spans="1:2" ht="15" customHeight="1">
      <c r="A35" s="4" t="s">
        <v>688</v>
      </c>
      <c r="B35" s="4">
        <v>0.3</v>
      </c>
    </row>
    <row r="36" spans="1:2" ht="15" customHeight="1">
      <c r="A36" s="4" t="s">
        <v>689</v>
      </c>
      <c r="B36" s="4" t="s">
        <v>690</v>
      </c>
    </row>
    <row r="37" spans="1:2" ht="15" customHeight="1">
      <c r="A37" s="4" t="s">
        <v>691</v>
      </c>
      <c r="B37" s="5" t="b">
        <v>1</v>
      </c>
    </row>
    <row r="38" spans="1:2" ht="15" customHeight="1">
      <c r="A38" s="4" t="s">
        <v>692</v>
      </c>
      <c r="B38" s="4" t="s">
        <v>150</v>
      </c>
    </row>
    <row r="39" spans="1:2" ht="15" customHeight="1">
      <c r="A39" s="4" t="s">
        <v>693</v>
      </c>
      <c r="B39" s="4" t="s">
        <v>148</v>
      </c>
    </row>
    <row r="40" spans="1:2" ht="15" customHeight="1">
      <c r="A40" s="4" t="s">
        <v>694</v>
      </c>
      <c r="B40" s="4" t="s">
        <v>695</v>
      </c>
    </row>
    <row r="41" spans="1:2" ht="15" customHeight="1">
      <c r="A41" s="4" t="s">
        <v>696</v>
      </c>
      <c r="B41" s="4" t="s">
        <v>697</v>
      </c>
    </row>
    <row r="42" spans="1:2" ht="15" customHeight="1">
      <c r="A42" s="4" t="s">
        <v>698</v>
      </c>
      <c r="B42" s="4" t="s">
        <v>699</v>
      </c>
    </row>
    <row r="43" spans="1:2" ht="15" customHeight="1">
      <c r="A43" s="4" t="s">
        <v>700</v>
      </c>
      <c r="B43" s="4" t="s">
        <v>701</v>
      </c>
    </row>
    <row r="44" spans="1:2" ht="15" customHeight="1">
      <c r="A44" s="4" t="s">
        <v>702</v>
      </c>
      <c r="B44" s="4">
        <v>0.5</v>
      </c>
    </row>
    <row r="45" spans="1:2" ht="15" customHeight="1">
      <c r="A45" s="4" t="s">
        <v>703</v>
      </c>
      <c r="B45" s="4">
        <v>0.5</v>
      </c>
    </row>
    <row r="46" spans="1:2" ht="15" customHeight="1">
      <c r="A46" s="4" t="s">
        <v>704</v>
      </c>
      <c r="B46" s="4">
        <v>0.5</v>
      </c>
    </row>
    <row r="47" spans="1:2" ht="15" customHeight="1">
      <c r="A47" s="4" t="s">
        <v>705</v>
      </c>
      <c r="B47" s="4">
        <v>1</v>
      </c>
    </row>
    <row r="48" spans="1:2" ht="15" customHeight="1">
      <c r="A48" s="4" t="s">
        <v>706</v>
      </c>
      <c r="B48" s="4" t="s">
        <v>707</v>
      </c>
    </row>
    <row r="49" spans="1:2" ht="15" customHeight="1">
      <c r="A49" s="4" t="s">
        <v>708</v>
      </c>
      <c r="B49" s="4">
        <v>0.7</v>
      </c>
    </row>
    <row r="50" spans="1:2" ht="15" customHeight="1">
      <c r="A50" s="4" t="s">
        <v>709</v>
      </c>
      <c r="B50" s="4">
        <v>0.3</v>
      </c>
    </row>
    <row r="51" spans="1:2" ht="15" customHeight="1">
      <c r="A51" s="4" t="s">
        <v>710</v>
      </c>
      <c r="B51" s="5" t="b">
        <v>1</v>
      </c>
    </row>
    <row r="52" spans="1:2" ht="15" customHeight="1">
      <c r="A52" s="4" t="s">
        <v>711</v>
      </c>
      <c r="B52" s="4">
        <v>0.5</v>
      </c>
    </row>
    <row r="53" spans="1:2" ht="15" customHeight="1">
      <c r="A53" s="4" t="s">
        <v>712</v>
      </c>
      <c r="B53" s="4">
        <v>0.05</v>
      </c>
    </row>
    <row r="54" spans="1:2" ht="15" customHeight="1">
      <c r="A54" s="4" t="s">
        <v>713</v>
      </c>
      <c r="B54" s="5" t="b">
        <v>1</v>
      </c>
    </row>
    <row r="55" spans="1:2" ht="15" customHeight="1">
      <c r="A55" s="4" t="s">
        <v>714</v>
      </c>
      <c r="B55" s="4">
        <v>0.4</v>
      </c>
    </row>
    <row r="56" spans="1:2" ht="15" customHeight="1">
      <c r="A56" s="4" t="s">
        <v>715</v>
      </c>
      <c r="B56" s="4" t="s">
        <v>716</v>
      </c>
    </row>
    <row r="57" spans="1:2" ht="15" customHeight="1">
      <c r="A57" s="4" t="s">
        <v>717</v>
      </c>
      <c r="B57" s="5" t="b">
        <v>1</v>
      </c>
    </row>
    <row r="58" spans="1:2" ht="15" customHeight="1">
      <c r="A58" s="4" t="s">
        <v>718</v>
      </c>
      <c r="B58" s="4" t="s">
        <v>719</v>
      </c>
    </row>
    <row r="59" spans="1:2" ht="15" customHeight="1">
      <c r="A59" s="4" t="s">
        <v>720</v>
      </c>
      <c r="B59" s="4" t="s">
        <v>721</v>
      </c>
    </row>
    <row r="60" spans="1:2" ht="15" customHeight="1">
      <c r="A60" s="4" t="s">
        <v>722</v>
      </c>
      <c r="B60" s="4" t="s">
        <v>701</v>
      </c>
    </row>
    <row r="61" spans="1:2" ht="15" customHeight="1">
      <c r="A61" s="4" t="s">
        <v>723</v>
      </c>
      <c r="B61" s="4" t="s">
        <v>724</v>
      </c>
    </row>
    <row r="62" spans="1:2" ht="15" customHeight="1">
      <c r="A62" s="4" t="s">
        <v>725</v>
      </c>
      <c r="B62" s="5" t="b">
        <v>1</v>
      </c>
    </row>
    <row r="63" spans="1:2" ht="15" customHeight="1">
      <c r="A63" s="4" t="s">
        <v>726</v>
      </c>
      <c r="B63" s="5" t="b">
        <v>1</v>
      </c>
    </row>
    <row r="64" spans="1:2" ht="15" customHeight="1">
      <c r="A64" s="4" t="s">
        <v>727</v>
      </c>
      <c r="B64" s="4" t="s">
        <v>728</v>
      </c>
    </row>
    <row r="65" spans="1:2" ht="15" customHeight="1">
      <c r="A65" s="4" t="s">
        <v>729</v>
      </c>
      <c r="B65" s="4">
        <v>0.25</v>
      </c>
    </row>
    <row r="66" spans="1:2" ht="15" customHeight="1">
      <c r="A66" s="4" t="s">
        <v>730</v>
      </c>
      <c r="B66" s="4">
        <v>0.75</v>
      </c>
    </row>
    <row r="67" spans="1:2" ht="15" customHeight="1">
      <c r="A67" s="4" t="s">
        <v>731</v>
      </c>
      <c r="B67" s="4">
        <v>1</v>
      </c>
    </row>
    <row r="68" spans="1:2" ht="15" customHeight="1">
      <c r="A68" s="4" t="s">
        <v>732</v>
      </c>
      <c r="B68" s="4">
        <v>0.2</v>
      </c>
    </row>
    <row r="69" spans="1:2" ht="15" customHeight="1">
      <c r="A69" s="4" t="s">
        <v>733</v>
      </c>
      <c r="B69" s="4">
        <v>0.6</v>
      </c>
    </row>
    <row r="70" spans="1:2" ht="15" customHeight="1">
      <c r="A70" s="4" t="s">
        <v>734</v>
      </c>
      <c r="B70" s="4">
        <v>1</v>
      </c>
    </row>
    <row r="71" spans="1:2" ht="15" customHeight="1">
      <c r="A71" s="4" t="s">
        <v>735</v>
      </c>
      <c r="B71" s="4">
        <v>0.4</v>
      </c>
    </row>
    <row r="72" spans="1:2" ht="15" customHeight="1">
      <c r="A72" s="4" t="s">
        <v>736</v>
      </c>
      <c r="B72" s="4">
        <v>0.85</v>
      </c>
    </row>
    <row r="73" spans="1:2" ht="15" customHeight="1">
      <c r="A73" s="4" t="s">
        <v>737</v>
      </c>
      <c r="B73" s="4">
        <v>1</v>
      </c>
    </row>
    <row r="74" spans="1:2" ht="15" customHeight="1">
      <c r="A74" s="4" t="s">
        <v>738</v>
      </c>
      <c r="B74" s="4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15</vt:i4>
      </vt:variant>
    </vt:vector>
  </HeadingPairs>
  <TitlesOfParts>
    <vt:vector size="15" baseType="lpstr">
      <vt:lpstr>Scope</vt:lpstr>
      <vt:lpstr>Budget</vt:lpstr>
      <vt:lpstr>Coordination</vt:lpstr>
      <vt:lpstr>Risk</vt:lpstr>
      <vt:lpstr>Acceptability</vt:lpstr>
      <vt:lpstr>Payoff checks</vt:lpstr>
      <vt:lpstr>Scenarios</vt:lpstr>
      <vt:lpstr>Readiness</vt:lpstr>
      <vt:lpstr>Score weights</vt:lpstr>
      <vt:lpstr>Payoffs</vt:lpstr>
      <vt:lpstr>Lifecycle</vt:lpstr>
      <vt:lpstr>Interactions</vt:lpstr>
      <vt:lpstr>Category mix</vt:lpstr>
      <vt:lpstr>Events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2026-09-25T22:38:04Z</dcterms:modified>
</cp:coreProperties>
</file>